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5c3c9a475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看板" sheetId="1" r:id="R18c15ad9633a4003"/>
    <x:sheet xmlns:r="http://schemas.openxmlformats.org/officeDocument/2006/relationships" name="任务跟踪" sheetId="2" r:id="R4b60aaa056364355"/>
    <x:sheet xmlns:r="http://schemas.openxmlformats.org/officeDocument/2006/relationships" name="任务定义" sheetId="3" r:id="Rb1ed84c835cf48ce"/>
    <x:sheet xmlns:r="http://schemas.openxmlformats.org/officeDocument/2006/relationships" name="首轮行动" sheetId="4" r:id="Rc816e88a9bd545c4"/>
    <x:sheet xmlns:r="http://schemas.openxmlformats.org/officeDocument/2006/relationships" name="接口确认" sheetId="5" r:id="R0384285565524418"/>
    <x:sheet xmlns:r="http://schemas.openxmlformats.org/officeDocument/2006/relationships" name="验收用例" sheetId="6" r:id="R9fb07188f1494e24"/>
    <x:sheet xmlns:r="http://schemas.openxmlformats.org/officeDocument/2006/relationships" name="范围与依据" sheetId="7" r:id="Rb9761b8eeccf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455566"/>
      <x:name val="Carlito"/>
    </x:font>
    <x:font>
      <x:sz val="11"/>
      <x:name val="Noto Sans CJK SC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21"/>
      <x:color rgb="FFFFFFFF"/>
      <x:name val="Noto Sans CJK SC"/>
    </x:font>
    <x:font>
      <x:sz val="10"/>
      <x:color rgb="FF455566"/>
      <x:name val="Noto Sans CJK SC"/>
    </x:font>
    <x:font>
      <x:b/>
      <x:sz val="11"/>
      <x:color rgb="FF234F62"/>
      <x:name val="Noto Sans CJK SC"/>
    </x:font>
    <x:font>
      <x:b/>
      <x:sz val="28"/>
      <x:color rgb="FF173D50"/>
      <x:name val="Noto Sans CJK SC"/>
    </x:font>
    <x:font>
      <x:b/>
      <x:sz val="12"/>
      <x:color rgb="FFFFFFFF"/>
      <x:name val="Noto Sans CJK SC"/>
    </x:font>
    <x:font>
      <x:b/>
      <x:sz val="11"/>
      <x:name val="Noto Sans CJK SC"/>
    </x:font>
  </x:fonts>
  <x:fills count="9">
    <x:fill>
      <x:patternFill patternType="none"/>
    </x:fill>
    <x:fill>
      <x:patternFill patternType="gray125"/>
    </x:fill>
    <x:fill>
      <x:patternFill patternType="solid">
        <x:fgColor rgb="FF173D50"/>
      </x:patternFill>
    </x:fill>
    <x:fill>
      <x:patternFill patternType="solid">
        <x:fgColor rgb="FFF3F6F8"/>
      </x:patternFill>
    </x:fill>
    <x:fill>
      <x:patternFill patternType="solid">
        <x:fgColor rgb="FF234F62"/>
      </x:patternFill>
    </x:fill>
    <x:fill>
      <x:patternFill patternType="solid">
        <x:fgColor rgb="FFFFF8DE"/>
      </x:patternFill>
    </x:fill>
    <x:fill>
      <x:patternFill patternType="solid">
        <x:fgColor rgb="FFE8F0F3"/>
      </x:patternFill>
    </x:fill>
    <x:fill>
      <x:patternFill patternType="solid">
        <x:fgColor rgb="FFF3F7F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3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3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6" borderId="0" xfId="0" applyNumberFormat="1" applyFont="1" applyFill="1" applyBorder="1"/>
    <x:xf numFmtId="0" fontId="8" fillId="6" borderId="0" xfId="0" applyNumberFormat="1" applyFont="1" applyFill="1" applyBorder="1"/>
    <x:xf numFmtId="0" fontId="3" fillId="6" borderId="1" xfId="0" applyNumberFormat="1" applyFont="1" applyFill="1" applyBorder="1"/>
    <x:xf numFmtId="0" fontId="8" fillId="6" borderId="1" xfId="0" applyNumberFormat="1" applyFont="1" applyFill="1" applyBorder="1"/>
    <x:xf numFmtId="0" fontId="3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vertical="center"/>
    </x:xf>
    <x:xf numFmtId="200" fontId="9" fillId="7" borderId="0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5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8" borderId="0" xfId="0" applyNumberFormat="1" applyFont="1" applyFill="1" applyBorder="1"/>
    <x:xf numFmtId="0" fontId="4" fillId="8" borderId="0" xfId="0" applyNumberFormat="1" applyFont="1" applyFill="1" applyBorder="1"/>
    <x:xf numFmtId="0" fontId="3" fillId="8" borderId="1" xfId="0" applyNumberFormat="1" applyFont="1" applyFill="1" applyBorder="1"/>
    <x:xf numFmtId="0" fontId="4" fillId="8" borderId="1" xfId="0" applyNumberFormat="1" applyFont="1" applyFill="1" applyBorder="1"/>
    <x:xf numFmtId="200" fontId="4" fillId="3" borderId="0" xfId="0" applyNumberFormat="1" applyFont="1" applyFill="1" applyBorder="1"/>
    <x:xf numFmtId="200" fontId="4" fillId="8" borderId="0" xfId="0" applyNumberFormat="1" applyFont="1" applyFill="1" applyBorder="1"/>
    <x:xf numFmtId="200" fontId="4" fillId="3" borderId="1" xfId="0" applyNumberFormat="1" applyFont="1" applyFill="1" applyBorder="1"/>
    <x:xf numFmtId="200" fontId="4" fillId="8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63D"/>
      </x:font>
      <x:fill>
        <x:patternFill patternType="solid">
          <x:bgColor rgb="FFDDEFE3"/>
        </x:patternFill>
      </x:fill>
    </x:dxf>
    <x:dxf>
      <x:font>
        <x:color rgb="FF9B2922"/>
      </x:font>
      <x:fill>
        <x:patternFill patternType="solid">
          <x:bgColor rgb="FFFCE0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91667d0394f8c" /><Relationship Type="http://schemas.openxmlformats.org/officeDocument/2006/relationships/theme" Target="/xl/theme/theme1.xml" Id="R6931c4eb2c814fc4" /><Relationship Type="http://schemas.openxmlformats.org/officeDocument/2006/relationships/sharedStrings" Target="/xl/sharedStrings.xml" Id="R4ab55a55486d48fd" /><Relationship Type="http://schemas.openxmlformats.org/officeDocument/2006/relationships/worksheet" Target="/xl/worksheets/sheet1.xml" Id="R18c15ad9633a4003" /><Relationship Type="http://schemas.openxmlformats.org/officeDocument/2006/relationships/worksheet" Target="/xl/worksheets/sheet2.xml" Id="R4b60aaa056364355" /><Relationship Type="http://schemas.openxmlformats.org/officeDocument/2006/relationships/worksheet" Target="/xl/worksheets/sheet3.xml" Id="Rb1ed84c835cf48ce" /><Relationship Type="http://schemas.openxmlformats.org/officeDocument/2006/relationships/worksheet" Target="/xl/worksheets/sheet4.xml" Id="Rc816e88a9bd545c4" /><Relationship Type="http://schemas.openxmlformats.org/officeDocument/2006/relationships/worksheet" Target="/xl/worksheets/sheet5.xml" Id="R0384285565524418" /><Relationship Type="http://schemas.openxmlformats.org/officeDocument/2006/relationships/worksheet" Target="/xl/worksheets/sheet6.xml" Id="R9fb07188f1494e24" /><Relationship Type="http://schemas.openxmlformats.org/officeDocument/2006/relationships/worksheet" Target="/xl/worksheets/sheet7.xml" Id="Rb9761b8eeccf44aa" /></Relationships>
</file>

<file path=xl/tables/table1.xml><?xml version="1.0" encoding="utf-8"?>
<x:table xmlns:x="http://schemas.openxmlformats.org/spreadsheetml/2006/main" id="1" name="Table2" displayName="Table2" ref="A5:O47" headerRowCount="1" totalsRowCount="0" totalsRowShown="0">
  <x:tableColumns count="15">
    <x:tableColumn id="1" name="编号"/>
    <x:tableColumn id="2" name="工作包"/>
    <x:tableColumn id="3" name="任务名称"/>
    <x:tableColumn id="4" name="优先级"/>
    <x:tableColumn id="5" name="阶段"/>
    <x:tableColumn id="6" name="建议责任角色"/>
    <x:tableColumn id="7" name="负责人"/>
    <x:tableColumn id="8" name="状态"/>
    <x:tableColumn id="9" name="验收完成"/>
    <x:tableColumn id="10" name="预计人日"/>
    <x:tableColumn id="11" name="计划开始"/>
    <x:tableColumn id="12" name="计划完成"/>
    <x:tableColumn id="13" name="实际完成"/>
    <x:tableColumn id="14" name="前置任务"/>
    <x:tableColumn id="15" name="阻塞与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3" displayName="Table3" ref="A5:H47" headerRowCount="1" totalsRowCount="0" totalsRowShown="0">
  <x:tableColumns count="8">
    <x:tableColumn id="1" name="编号"/>
    <x:tableColumn id="2" name="工作包"/>
    <x:tableColumn id="3" name="任务名称"/>
    <x:tableColumn id="4" name="实施内容"/>
    <x:tableColumn id="5" name="交付物"/>
    <x:tableColumn id="6" name="验收标准"/>
    <x:tableColumn id="7" name="外部输入/阻断"/>
    <x:tableColumn id="8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A5:H15" headerRowCount="1" totalsRowCount="0" totalsRowShown="0">
  <x:tableColumns count="8">
    <x:tableColumn id="1" name="窗口"/>
    <x:tableColumn id="2" name="工作内容"/>
    <x:tableColumn id="3" name="关联任务"/>
    <x:tableColumn id="4" name="建议责任"/>
    <x:tableColumn id="5" name="当轮输出"/>
    <x:tableColumn id="6" name="负责人"/>
    <x:tableColumn id="7" name="状态"/>
    <x:tableColumn id="8" name="反馈/证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" displayName="Table5" ref="A5:J19" headerRowCount="1" totalsRowCount="0" totalsRowShown="0">
  <x:tableColumns count="10">
    <x:tableColumn id="1" name="编号"/>
    <x:tableColumn id="2" name="对接方"/>
    <x:tableColumn id="3" name="确认主题"/>
    <x:tableColumn id="4" name="需取得资料/答案"/>
    <x:tableColumn id="5" name="关联任务"/>
    <x:tableColumn id="6" name="未确认影响"/>
    <x:tableColumn id="7" name="责任人"/>
    <x:tableColumn id="8" name="状态"/>
    <x:tableColumn id="9" name="反馈日期"/>
    <x:tableColumn id="10" name="实际反馈及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6" displayName="Table6" ref="A5:I25" headerRowCount="1" totalsRowCount="0" totalsRowShown="0">
  <x:tableColumns count="9">
    <x:tableColumn id="1" name="编号"/>
    <x:tableColumn id="2" name="验证主题"/>
    <x:tableColumn id="3" name="关联任务"/>
    <x:tableColumn id="4" name="操作步骤"/>
    <x:tableColumn id="5" name="预期/通过标准"/>
    <x:tableColumn id="6" name="执行人"/>
    <x:tableColumn id="7" name="执行日期"/>
    <x:tableColumn id="8" name="结果"/>
    <x:tableColumn id="9" name="证据/问题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7" displayName="Table7" ref="A5:E21" headerRowCount="1" totalsRowCount="0" totalsRowShown="0">
  <x:tableColumns count="5">
    <x:tableColumn id="1" name="类别/编号"/>
    <x:tableColumn id="2" name="性质"/>
    <x:tableColumn id="3" name="条目"/>
    <x:tableColumn id="4" name="使用方式/约束"/>
    <x:tableColumn id="5" name="来源/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84e0f3818d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3fadc106ca4b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cb5da1cba444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3ca37388244d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d9ce760b2e47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adacf6fb984a4c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49" t="str">
        <x:v>电缆检测项目 · 研发执行看板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28" customHeight="1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 ht="26" customHeight="1">
      <x:c r="A3" s="52" t="str">
        <x:v>V1.0  |  2026-09-18  |  两款浪潮ODM＋共久硬件/自研设备端＋自研统一平台＋MES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4" customHeight="1">
      <x:c r="A5" s="55" t="str">
        <x:v>全部任务</x:v>
      </x:c>
      <x:c r="B5" s="55"/>
      <x:c r="C5" s="55"/>
      <x:c r="D5" s="55" t="str">
        <x:v>已验收完成</x:v>
      </x:c>
      <x:c r="E5" s="55"/>
      <x:c r="F5" s="55"/>
      <x:c r="G5" s="55" t="str">
        <x:v>阻塞任务</x:v>
      </x:c>
      <x:c r="H5" s="55"/>
      <x:c r="I5" s="55"/>
      <x:c r="J5" s="55" t="str">
        <x:v>验收完成率</x:v>
      </x:c>
      <x:c r="K5" s="55"/>
      <x:c r="L5" s="55"/>
    </x:row>
    <x:row r="6">
      <x:c r="A6" s="60" t="n">
        <x:f>COUNTA('任务跟踪'!A6:A47)</x:f>
        <x:v>42</x:v>
      </x:c>
      <x:c r="B6" s="60"/>
      <x:c r="C6" s="60"/>
      <x:c r="D6" s="60" t="n">
        <x:f>COUNTIF('任务跟踪'!H6:H47,"已完成")</x:f>
        <x:v>0</x:v>
      </x:c>
      <x:c r="E6" s="60"/>
      <x:c r="F6" s="60"/>
      <x:c r="G6" s="60" t="n">
        <x:f>COUNTIF('任务跟踪'!H6:H47,"阻塞")</x:f>
        <x:v>0</x:v>
      </x:c>
      <x:c r="H6" s="60"/>
      <x:c r="I6" s="60"/>
      <x:c r="J6" s="64" t="n">
        <x:f>IFERROR(COUNTIF('任务跟踪'!H6:H47,"已完成")/COUNTA('任务跟踪'!A6:A47),0)</x:f>
        <x:v>0</x:v>
      </x:c>
      <x:c r="K6" s="60"/>
      <x:c r="L6" s="60"/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27" customHeight="1">
      <x:c r="A9" s="67" t="str">
        <x:v>工作量估算合计（人日）</x:v>
      </x:c>
      <x:c r="B9" s="67"/>
      <x:c r="C9" s="67"/>
      <x:c r="D9" s="67" t="str">
        <x:f>IF(COUNT('任务跟踪'!J6:J47)=0,"待开发评估",SUM('任务跟踪'!J6:J47))</x:f>
        <x:v>待开发评估</x:v>
      </x:c>
      <x:c r="E9" s="67"/>
      <x:c r="F9" s="67"/>
      <x:c r="G9" s="67" t="str">
        <x:v>黄色单元格为执行填写区；验收完成以证据为准</x:v>
      </x:c>
      <x:c r="H9" s="67"/>
      <x:c r="I9" s="67"/>
      <x:c r="J9" s="67"/>
      <x:c r="K9" s="67"/>
      <x:c r="L9" s="67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25" customHeight="1">
      <x:c r="A11" s="70" t="str">
        <x:v>工作包进展</x:v>
      </x:c>
      <x:c r="B11" s="70"/>
      <x:c r="C11" s="70"/>
      <x:c r="D11" s="70"/>
      <x:c r="E11" s="70"/>
      <x:c r="F11" s="70"/>
      <x:c r="G11" s="12"/>
      <x:c r="H11" s="70" t="str">
        <x:v>本轮重点</x:v>
      </x:c>
      <x:c r="I11" s="70"/>
      <x:c r="J11" s="70"/>
      <x:c r="K11" s="70"/>
      <x:c r="L11" s="70"/>
    </x:row>
    <x:row r="12" ht="26" customHeight="1">
      <x:c r="A12" s="72" t="str">
        <x:v>工作包</x:v>
      </x:c>
      <x:c r="B12" s="72" t="str">
        <x:v>任务数</x:v>
      </x:c>
      <x:c r="C12" s="72" t="str">
        <x:v>已完成</x:v>
      </x:c>
      <x:c r="D12" s="72" t="str">
        <x:v>阻塞</x:v>
      </x:c>
      <x:c r="E12" s="72" t="str">
        <x:v>P0数量</x:v>
      </x:c>
      <x:c r="F12" s="72" t="str">
        <x:v>完成率</x:v>
      </x:c>
      <x:c r="G12" s="12"/>
      <x:c r="H12" s="12"/>
      <x:c r="I12" s="12"/>
      <x:c r="J12" s="12"/>
      <x:c r="K12" s="12"/>
      <x:c r="L12" s="12"/>
    </x:row>
    <x:row r="13" ht="25" customHeight="1">
      <x:c r="A13" s="75" t="str">
        <x:v>启动与设计</x:v>
      </x:c>
      <x:c r="B13" s="75" t="n">
        <x:f>COUNTIF('任务跟踪'!B$6:B$47,A13)</x:f>
        <x:v>7</x:v>
      </x:c>
      <x:c r="C13" s="75" t="n">
        <x:f>COUNTIFS('任务跟踪'!B$6:B$47,A13,'任务跟踪'!H$6:H$47,"已完成")</x:f>
        <x:v>0</x:v>
      </x:c>
      <x:c r="D13" s="75" t="n">
        <x:f>COUNTIFS('任务跟踪'!B$6:B$47,A13,'任务跟踪'!H$6:H$47,"阻塞")</x:f>
        <x:v>0</x:v>
      </x:c>
      <x:c r="E13" s="75" t="n">
        <x:f>COUNTIFS('任务跟踪'!B$6:B$47,A13,'任务跟踪'!D$6:D$47,"P0")</x:f>
        <x:v>7</x:v>
      </x:c>
      <x:c r="F13" s="82" t="n">
        <x:f>IFERROR(C13/B13,0)</x:f>
        <x:v>0</x:v>
      </x:c>
      <x:c r="G13" s="12"/>
      <x:c r="H13" s="87" t="str">
        <x:v>1  取得浪潮两款设备接口、样例与ODM授权。</x:v>
      </x:c>
      <x:c r="I13" s="87"/>
      <x:c r="J13" s="87"/>
      <x:c r="K13" s="87"/>
      <x:c r="L13" s="87"/>
    </x:row>
    <x:row r="14" ht="25" customHeight="1">
      <x:c r="A14" s="79" t="str">
        <x:v>工程基础</x:v>
      </x:c>
      <x:c r="B14" s="79" t="n">
        <x:f>COUNTIF('任务跟踪'!B$6:B$47,A14)</x:f>
        <x:v>3</x:v>
      </x:c>
      <x:c r="C14" s="79" t="n">
        <x:f>COUNTIFS('任务跟踪'!B$6:B$47,A14,'任务跟踪'!H$6:H$47,"已完成")</x:f>
        <x:v>0</x:v>
      </x:c>
      <x:c r="D14" s="79" t="n">
        <x:f>COUNTIFS('任务跟踪'!B$6:B$47,A14,'任务跟踪'!H$6:H$47,"阻塞")</x:f>
        <x:v>0</x:v>
      </x:c>
      <x:c r="E14" s="79" t="n">
        <x:f>COUNTIFS('任务跟踪'!B$6:B$47,A14,'任务跟踪'!D$6:D$47,"P0")</x:f>
        <x:v>3</x:v>
      </x:c>
      <x:c r="F14" s="83" t="n">
        <x:f>IFERROR(C14/B14,0)</x:f>
        <x:v>0</x:v>
      </x:c>
      <x:c r="G14" s="12"/>
      <x:c r="H14" s="87"/>
      <x:c r="I14" s="87"/>
      <x:c r="J14" s="87"/>
      <x:c r="K14" s="87"/>
      <x:c r="L14" s="87"/>
    </x:row>
    <x:row r="15" ht="25" customHeight="1">
      <x:c r="A15" s="75" t="str">
        <x:v>产品3设备端</x:v>
      </x:c>
      <x:c r="B15" s="75" t="n">
        <x:f>COUNTIF('任务跟踪'!B$6:B$47,A15)</x:f>
        <x:v>8</x:v>
      </x:c>
      <x:c r="C15" s="75" t="n">
        <x:f>COUNTIFS('任务跟踪'!B$6:B$47,A15,'任务跟踪'!H$6:H$47,"已完成")</x:f>
        <x:v>0</x:v>
      </x:c>
      <x:c r="D15" s="75" t="n">
        <x:f>COUNTIFS('任务跟踪'!B$6:B$47,A15,'任务跟踪'!H$6:H$47,"阻塞")</x:f>
        <x:v>0</x:v>
      </x:c>
      <x:c r="E15" s="75" t="n">
        <x:f>COUNTIFS('任务跟踪'!B$6:B$47,A15,'任务跟踪'!D$6:D$47,"P0")</x:f>
        <x:v>8</x:v>
      </x:c>
      <x:c r="F15" s="82" t="n">
        <x:f>IFERROR(C15/B15,0)</x:f>
        <x:v>0</x:v>
      </x:c>
      <x:c r="G15" s="12"/>
      <x:c r="H15" s="87" t="str">
        <x:v>2  取得共久协议与实物，确认双向测量和不圆度方法。</x:v>
      </x:c>
      <x:c r="I15" s="87"/>
      <x:c r="J15" s="87"/>
      <x:c r="K15" s="87"/>
      <x:c r="L15" s="87"/>
    </x:row>
    <x:row r="16" ht="25" customHeight="1">
      <x:c r="A16" s="79" t="str">
        <x:v>浪潮ODM接入</x:v>
      </x:c>
      <x:c r="B16" s="79" t="n">
        <x:f>COUNTIF('任务跟踪'!B$6:B$47,A16)</x:f>
        <x:v>3</x:v>
      </x:c>
      <x:c r="C16" s="79" t="n">
        <x:f>COUNTIFS('任务跟踪'!B$6:B$47,A16,'任务跟踪'!H$6:H$47,"已完成")</x:f>
        <x:v>0</x:v>
      </x:c>
      <x:c r="D16" s="79" t="n">
        <x:f>COUNTIFS('任务跟踪'!B$6:B$47,A16,'任务跟踪'!H$6:H$47,"阻塞")</x:f>
        <x:v>0</x:v>
      </x:c>
      <x:c r="E16" s="79" t="n">
        <x:f>COUNTIFS('任务跟踪'!B$6:B$47,A16,'任务跟踪'!D$6:D$47,"P0")</x:f>
        <x:v>3</x:v>
      </x:c>
      <x:c r="F16" s="83" t="n">
        <x:f>IFERROR(C16/B16,0)</x:f>
        <x:v>0</x:v>
      </x:c>
      <x:c r="G16" s="12"/>
      <x:c r="H16" s="87"/>
      <x:c r="I16" s="87"/>
      <x:c r="J16" s="87"/>
      <x:c r="K16" s="87"/>
      <x:c r="L16" s="87"/>
    </x:row>
    <x:row r="17" ht="25" customHeight="1">
      <x:c r="A17" s="75" t="str">
        <x:v>统一平台</x:v>
      </x:c>
      <x:c r="B17" s="75" t="n">
        <x:f>COUNTIF('任务跟踪'!B$6:B$47,A17)</x:f>
        <x:v>10</x:v>
      </x:c>
      <x:c r="C17" s="75" t="n">
        <x:f>COUNTIFS('任务跟踪'!B$6:B$47,A17,'任务跟踪'!H$6:H$47,"已完成")</x:f>
        <x:v>0</x:v>
      </x:c>
      <x:c r="D17" s="75" t="n">
        <x:f>COUNTIFS('任务跟踪'!B$6:B$47,A17,'任务跟踪'!H$6:H$47,"阻塞")</x:f>
        <x:v>0</x:v>
      </x:c>
      <x:c r="E17" s="75" t="n">
        <x:f>COUNTIFS('任务跟踪'!B$6:B$47,A17,'任务跟踪'!D$6:D$47,"P0")</x:f>
        <x:v>9</x:v>
      </x:c>
      <x:c r="F17" s="82" t="n">
        <x:f>IFERROR(C17/B17,0)</x:f>
        <x:v>0</x:v>
      </x:c>
      <x:c r="G17" s="12"/>
      <x:c r="H17" s="87" t="str">
        <x:v>3  冻结统一数据契约，先跑通最小采集—平台链路。</x:v>
      </x:c>
      <x:c r="I17" s="87"/>
      <x:c r="J17" s="87"/>
      <x:c r="K17" s="87"/>
      <x:c r="L17" s="87"/>
    </x:row>
    <x:row r="18" ht="25" customHeight="1">
      <x:c r="A18" s="79" t="str">
        <x:v>MES对接</x:v>
      </x:c>
      <x:c r="B18" s="79" t="n">
        <x:f>COUNTIF('任务跟踪'!B$6:B$47,A18)</x:f>
        <x:v>3</x:v>
      </x:c>
      <x:c r="C18" s="79" t="n">
        <x:f>COUNTIFS('任务跟踪'!B$6:B$47,A18,'任务跟踪'!H$6:H$47,"已完成")</x:f>
        <x:v>0</x:v>
      </x:c>
      <x:c r="D18" s="79" t="n">
        <x:f>COUNTIFS('任务跟踪'!B$6:B$47,A18,'任务跟踪'!H$6:H$47,"阻塞")</x:f>
        <x:v>0</x:v>
      </x:c>
      <x:c r="E18" s="79" t="n">
        <x:f>COUNTIFS('任务跟踪'!B$6:B$47,A18,'任务跟踪'!D$6:D$47,"P0")</x:f>
        <x:v>3</x:v>
      </x:c>
      <x:c r="F18" s="83" t="n">
        <x:f>IFERROR(C18/B18,0)</x:f>
        <x:v>0</x:v>
      </x:c>
      <x:c r="G18" s="12"/>
      <x:c r="H18" s="87"/>
      <x:c r="I18" s="87"/>
      <x:c r="J18" s="87"/>
      <x:c r="K18" s="87"/>
      <x:c r="L18" s="87"/>
    </x:row>
    <x:row r="19" ht="25" customHeight="1">
      <x:c r="A19" s="75" t="str">
        <x:v>测试与交付</x:v>
      </x:c>
      <x:c r="B19" s="75" t="n">
        <x:f>COUNTIF('任务跟踪'!B$6:B$47,A19)</x:f>
        <x:v>6</x:v>
      </x:c>
      <x:c r="C19" s="75" t="n">
        <x:f>COUNTIFS('任务跟踪'!B$6:B$47,A19,'任务跟踪'!H$6:H$47,"已完成")</x:f>
        <x:v>0</x:v>
      </x:c>
      <x:c r="D19" s="75" t="n">
        <x:f>COUNTIFS('任务跟踪'!B$6:B$47,A19,'任务跟踪'!H$6:H$47,"阻塞")</x:f>
        <x:v>0</x:v>
      </x:c>
      <x:c r="E19" s="75" t="n">
        <x:f>COUNTIFS('任务跟踪'!B$6:B$47,A19,'任务跟踪'!D$6:D$47,"P0")</x:f>
        <x:v>6</x:v>
      </x:c>
      <x:c r="F19" s="82" t="n">
        <x:f>IFERROR(C19/B19,0)</x:f>
        <x:v>0</x:v>
      </x:c>
      <x:c r="G19" s="12"/>
      <x:c r="H19" s="87" t="str">
        <x:v>4  拿到客户MES接收规则，落实确认、重试和对账。</x:v>
      </x:c>
      <x:c r="I19" s="87"/>
      <x:c r="J19" s="87"/>
      <x:c r="K19" s="87"/>
      <x:c r="L19" s="87"/>
    </x:row>
    <x:row r="20" ht="25" customHeight="1">
      <x:c r="A20" s="79" t="str">
        <x:v>后续扩展</x:v>
      </x:c>
      <x:c r="B20" s="79" t="n">
        <x:f>COUNTIF('任务跟踪'!B$6:B$47,A20)</x:f>
        <x:v>2</x:v>
      </x:c>
      <x:c r="C20" s="79" t="n">
        <x:f>COUNTIFS('任务跟踪'!B$6:B$47,A20,'任务跟踪'!H$6:H$47,"已完成")</x:f>
        <x:v>0</x:v>
      </x:c>
      <x:c r="D20" s="79" t="n">
        <x:f>COUNTIFS('任务跟踪'!B$6:B$47,A20,'任务跟踪'!H$6:H$47,"阻塞")</x:f>
        <x:v>0</x:v>
      </x:c>
      <x:c r="E20" s="79" t="n">
        <x:f>COUNTIFS('任务跟踪'!B$6:B$47,A20,'任务跟踪'!D$6:D$47,"P0")</x:f>
        <x:v>0</x:v>
      </x:c>
      <x:c r="F20" s="83" t="n">
        <x:f>IFERROR(C20/B20,0)</x:f>
        <x:v>0</x:v>
      </x:c>
      <x:c r="G20" s="12"/>
      <x:c r="H20" s="87"/>
      <x:c r="I20" s="87"/>
      <x:c r="J20" s="87"/>
      <x:c r="K20" s="87"/>
      <x:c r="L20" s="87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9" customHeight="1">
      <x:c r="A23" s="72" t="str">
        <x:v>开发顺序：G0 输入与设计 → G1 最小闭环 → G2 质量业务 → G3 真机/MES联调 → G4 试点交付</x:v>
      </x:c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27" customHeight="1">
      <x:c r="A26" s="74" t="str">
        <x:v>任务跟踪</x:v>
      </x:c>
      <x:c r="B26" s="74"/>
      <x:c r="C26" s="74"/>
      <x:c r="D26" s="74" t="str">
        <x:v>填负责人、状态、估时和日期；全部42项可筛选。</x:v>
      </x:c>
      <x:c r="E26" s="74"/>
      <x:c r="F26" s="74"/>
      <x:c r="G26" s="74"/>
      <x:c r="H26" s="74"/>
      <x:c r="I26" s="74"/>
      <x:c r="J26" s="74"/>
      <x:c r="K26" s="74"/>
      <x:c r="L26" s="74"/>
    </x:row>
    <x:row r="27" ht="27" customHeight="1">
      <x:c r="A27" s="78" t="str">
        <x:v>任务定义</x:v>
      </x:c>
      <x:c r="B27" s="78"/>
      <x:c r="C27" s="78"/>
      <x:c r="D27" s="78" t="str">
        <x:v>按编号查看实施内容、交付物、验收标准与外部输入。</x:v>
      </x:c>
      <x:c r="E27" s="78"/>
      <x:c r="F27" s="78"/>
      <x:c r="G27" s="78"/>
      <x:c r="H27" s="78"/>
      <x:c r="I27" s="78"/>
      <x:c r="J27" s="78"/>
      <x:c r="K27" s="78"/>
      <x:c r="L27" s="78"/>
    </x:row>
    <x:row r="28" ht="27" customHeight="1">
      <x:c r="A28" s="74" t="str">
        <x:v>首轮行动</x:v>
      </x:c>
      <x:c r="B28" s="74"/>
      <x:c r="C28" s="74"/>
      <x:c r="D28" s="74" t="str">
        <x:v>10个工作日建议动作；不是合同工期。</x:v>
      </x:c>
      <x:c r="E28" s="74"/>
      <x:c r="F28" s="74"/>
      <x:c r="G28" s="74"/>
      <x:c r="H28" s="74"/>
      <x:c r="I28" s="74"/>
      <x:c r="J28" s="74"/>
      <x:c r="K28" s="74"/>
      <x:c r="L28" s="74"/>
    </x:row>
    <x:row r="29" ht="27" customHeight="1">
      <x:c r="A29" s="78" t="str">
        <x:v>接口确认</x:v>
      </x:c>
      <x:c r="B29" s="78"/>
      <x:c r="C29" s="78"/>
      <x:c r="D29" s="78" t="str">
        <x:v>14项供应商/客户输入，记录取得情况与影响。</x:v>
      </x:c>
      <x:c r="E29" s="78"/>
      <x:c r="F29" s="78"/>
      <x:c r="G29" s="78"/>
      <x:c r="H29" s="78"/>
      <x:c r="I29" s="78"/>
      <x:c r="J29" s="78"/>
      <x:c r="K29" s="78"/>
      <x:c r="L29" s="78"/>
    </x:row>
    <x:row r="30" ht="27" customHeight="1">
      <x:c r="A30" s="74" t="str">
        <x:v>验收用例</x:v>
      </x:c>
      <x:c r="B30" s="74"/>
      <x:c r="C30" s="74"/>
      <x:c r="D30" s="74" t="str">
        <x:v>20条测试；填写结果与证据，不用模拟替代真机。</x:v>
      </x:c>
      <x:c r="E30" s="74"/>
      <x:c r="F30" s="74"/>
      <x:c r="G30" s="74"/>
      <x:c r="H30" s="74"/>
      <x:c r="I30" s="74"/>
      <x:c r="J30" s="74"/>
      <x:c r="K30" s="74"/>
      <x:c r="L30" s="74"/>
    </x:row>
    <x:row r="31" ht="27" customHeight="1">
      <x:c r="A31" s="78" t="str">
        <x:v>范围与依据</x:v>
      </x:c>
      <x:c r="B31" s="78"/>
      <x:c r="C31" s="78"/>
      <x:c r="D31" s="78" t="str">
        <x:v>确认责任、优先级、资料来源及未确认边界。</x:v>
      </x:c>
      <x:c r="E31" s="78"/>
      <x:c r="F31" s="78"/>
      <x:c r="G31" s="78"/>
      <x:c r="H31" s="78"/>
      <x:c r="I31" s="78"/>
      <x:c r="J31" s="78"/>
      <x:c r="K31" s="78"/>
      <x:c r="L31" s="78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3" customHeight="1">
      <x:c r="A34" s="90" t="str">
        <x:v>发布门槛：P0任务通过＋真机测量方法确认＋客户MES实际对账＋数据恢复测试通过。参考资料中的360°/AI、笼绞场景和存储条款需差异确认，不自动转成当前供货承诺。</x:v>
      </x:c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90"/>
    </x:row>
    <x:row r="35" ht="23" customHeight="1">
      <x:c r="A35" s="90"/>
      <x:c r="B35" s="90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D9:F9"/>
    <x:mergeCell ref="G9:L9"/>
    <x:mergeCell ref="A11:F11"/>
    <x:mergeCell ref="H11:L11"/>
    <x:mergeCell ref="H13:L14"/>
    <x:mergeCell ref="H15:L16"/>
    <x:mergeCell ref="H17:L18"/>
    <x:mergeCell ref="H19:L20"/>
    <x:mergeCell ref="A23:L23"/>
    <x:mergeCell ref="A26:C26"/>
    <x:mergeCell ref="D26:L26"/>
    <x:mergeCell ref="A27:C27"/>
    <x:mergeCell ref="D27:L27"/>
    <x:mergeCell ref="A28:C28"/>
    <x:mergeCell ref="D28:L28"/>
    <x:mergeCell ref="A29:C29"/>
    <x:mergeCell ref="D29:L29"/>
    <x:mergeCell ref="A30:C30"/>
    <x:mergeCell ref="D30:L30"/>
    <x:mergeCell ref="A31:C31"/>
    <x:mergeCell ref="D31:L31"/>
    <x:mergeCell ref="A34:L35"/>
  </x:mergeCells>
  <x:conditionalFormatting sqref="F13:F20">
    <x:cfRule type="dataBar" priority="1">
      <x:dataBar>
        <x:cfvo type="min"/>
        <x:cfvo type="max"/>
        <x:color rgb="FF397A73"/>
      </x:dataBar>
      <x:extLst>
        <x:ext xmlns:x14="http://schemas.microsoft.com/office/spreadsheetml/2009/9/main" uri="{B025F937-C7B1-47D3-B67F-A62EFF666E3E}">
          <x14:id>{861E14A4-6099-4D74-6D77-DC8EECD49A3B}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61E14A4-6099-4D74-6D77-DC8EECD49A3B}">
            <x14:dataBar gradient="0">
              <x14:cfvo type="min"/>
              <x14:cfvo type="max"/>
              <x14:fillColor rgb="FF397A73"/>
            </x14:dataBar>
          </x14:cfRule>
          <xm:sqref>F13:F20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0" hidden="0" customWidth="1"/>
    <x:col min="5" max="5" width="9" hidden="0" customWidth="1"/>
    <x:col min="6" max="6" width="23" hidden="0" customWidth="1"/>
    <x:col min="7" max="7" width="14" hidden="0" customWidth="1"/>
    <x:col min="8" max="8" width="13" hidden="0" customWidth="1"/>
    <x:col min="9" max="9" width="12" hidden="0" customWidth="1"/>
    <x:col min="10" max="10" width="12" hidden="0" customWidth="1"/>
    <x:col min="11" max="11" width="15" hidden="0" customWidth="1"/>
    <x:col min="12" max="12" width="15" hidden="0" customWidth="1"/>
    <x:col min="13" max="13" width="15" hidden="0" customWidth="1"/>
    <x:col min="14" max="14" width="23" hidden="0" customWidth="1"/>
    <x:col min="15" max="15" width="38" hidden="0" customWidth="1"/>
  </x:cols>
  <x:sheetData>
    <x:row r="1" ht="34" customHeight="1">
      <x:c r="A1" s="3" t="str">
        <x:v>开发任务跟踪台账｜42项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8" t="str">
        <x:v>填写浅黄色列：负责人、状态、预计人日、计划及实际日期、阻塞说明。I列为验收完成标记，不代表实际工作进度。角色可由现有人员兼任；未提供工期承诺。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5" ht="32" customHeight="1">
      <x:c r="A5" s="25" t="str">
        <x:v>编号</x:v>
      </x:c>
      <x:c r="B5" s="25" t="str">
        <x:v>工作包</x:v>
      </x:c>
      <x:c r="C5" s="25" t="str">
        <x:v>任务名称</x:v>
      </x:c>
      <x:c r="D5" s="25" t="str">
        <x:v>优先级</x:v>
      </x:c>
      <x:c r="E5" s="25" t="str">
        <x:v>阶段</x:v>
      </x:c>
      <x:c r="F5" s="25" t="str">
        <x:v>建议责任角色</x:v>
      </x:c>
      <x:c r="G5" s="25" t="str">
        <x:v>负责人</x:v>
      </x:c>
      <x:c r="H5" s="25" t="str">
        <x:v>状态</x:v>
      </x:c>
      <x:c r="I5" s="25" t="str">
        <x:v>验收完成</x:v>
      </x:c>
      <x:c r="J5" s="25" t="str">
        <x:v>预计人日</x:v>
      </x:c>
      <x:c r="K5" s="25" t="str">
        <x:v>计划开始</x:v>
      </x:c>
      <x:c r="L5" s="25" t="str">
        <x:v>计划完成</x:v>
      </x:c>
      <x:c r="M5" s="25" t="str">
        <x:v>实际完成</x:v>
      </x:c>
      <x:c r="N5" s="25" t="str">
        <x:v>前置任务</x:v>
      </x:c>
      <x:c r="O5" s="25" t="str">
        <x:v>阻塞与备注</x:v>
      </x:c>
    </x:row>
    <x:row r="6" ht="52" customHeight="1">
      <x:c r="A6" s="20" t="str">
        <x:v>B01</x:v>
      </x:c>
      <x:c r="B6" s="20" t="str">
        <x:v>启动与设计</x:v>
      </x:c>
      <x:c r="C6" s="20" t="str">
        <x:v>确认首期范围及责任边界</x:v>
      </x:c>
      <x:c r="D6" s="20" t="str">
        <x:v>P0</x:v>
      </x:c>
      <x:c r="E6" s="20" t="str">
        <x:v>G0</x:v>
      </x:c>
      <x:c r="F6" s="20" t="str">
        <x:v>项目负责人</x:v>
      </x:c>
      <x:c r="G6" s="42"/>
      <x:c r="H6" s="42" t="str">
        <x:v>未开始</x:v>
      </x:c>
      <x:c r="I6" s="30" t="n">
        <x:f>IF(H6="已完成",1,0)</x:f>
        <x:v>0</x:v>
      </x:c>
      <x:c r="J6" s="44"/>
      <x:c r="K6" s="45"/>
      <x:c r="L6" s="45"/>
      <x:c r="M6" s="45"/>
      <x:c r="N6" s="20" t="str">
        <x:v>—</x:v>
      </x:c>
      <x:c r="O6" s="42"/>
    </x:row>
    <x:row r="7" ht="52" customHeight="1">
      <x:c r="A7" s="16" t="str">
        <x:v>B02</x:v>
      </x:c>
      <x:c r="B7" s="16" t="str">
        <x:v>启动与设计</x:v>
      </x:c>
      <x:c r="C7" s="16" t="str">
        <x:v>取得浪潮两款设备接口资料</x:v>
      </x:c>
      <x:c r="D7" s="16" t="str">
        <x:v>P0</x:v>
      </x:c>
      <x:c r="E7" s="16" t="str">
        <x:v>G0</x:v>
      </x:c>
      <x:c r="F7" s="16" t="str">
        <x:v>接口开发</x:v>
      </x:c>
      <x:c r="G7" s="42"/>
      <x:c r="H7" s="42" t="str">
        <x:v>未开始</x:v>
      </x:c>
      <x:c r="I7" s="31" t="n">
        <x:f>IF(H7="已完成",1,0)</x:f>
        <x:v>0</x:v>
      </x:c>
      <x:c r="J7" s="44"/>
      <x:c r="K7" s="45"/>
      <x:c r="L7" s="45"/>
      <x:c r="M7" s="45"/>
      <x:c r="N7" s="16" t="str">
        <x:v>B01</x:v>
      </x:c>
      <x:c r="O7" s="42"/>
    </x:row>
    <x:row r="8" ht="52" customHeight="1">
      <x:c r="A8" s="20" t="str">
        <x:v>B03</x:v>
      </x:c>
      <x:c r="B8" s="20" t="str">
        <x:v>启动与设计</x:v>
      </x:c>
      <x:c r="C8" s="20" t="str">
        <x:v>取得共久协议并核对实物配置</x:v>
      </x:c>
      <x:c r="D8" s="20" t="str">
        <x:v>P0</x:v>
      </x:c>
      <x:c r="E8" s="20" t="str">
        <x:v>G0</x:v>
      </x:c>
      <x:c r="F8" s="20" t="str">
        <x:v>设备端开发</x:v>
      </x:c>
      <x:c r="G8" s="42"/>
      <x:c r="H8" s="42" t="str">
        <x:v>未开始</x:v>
      </x:c>
      <x:c r="I8" s="30" t="n">
        <x:f>IF(H8="已完成",1,0)</x:f>
        <x:v>0</x:v>
      </x:c>
      <x:c r="J8" s="44"/>
      <x:c r="K8" s="45"/>
      <x:c r="L8" s="45"/>
      <x:c r="M8" s="45"/>
      <x:c r="N8" s="20" t="str">
        <x:v>B01</x:v>
      </x:c>
      <x:c r="O8" s="42"/>
    </x:row>
    <x:row r="9" ht="52" customHeight="1">
      <x:c r="A9" s="16" t="str">
        <x:v>B04</x:v>
      </x:c>
      <x:c r="B9" s="16" t="str">
        <x:v>启动与设计</x:v>
      </x:c>
      <x:c r="C9" s="16" t="str">
        <x:v>冻结指标定义与判定口径</x:v>
      </x:c>
      <x:c r="D9" s="16" t="str">
        <x:v>P0</x:v>
      </x:c>
      <x:c r="E9" s="16" t="str">
        <x:v>G0</x:v>
      </x:c>
      <x:c r="F9" s="16" t="str">
        <x:v>项目负责人＋设备端开发</x:v>
      </x:c>
      <x:c r="G9" s="42"/>
      <x:c r="H9" s="42" t="str">
        <x:v>未开始</x:v>
      </x:c>
      <x:c r="I9" s="31" t="n">
        <x:f>IF(H9="已完成",1,0)</x:f>
        <x:v>0</x:v>
      </x:c>
      <x:c r="J9" s="44"/>
      <x:c r="K9" s="45"/>
      <x:c r="L9" s="45"/>
      <x:c r="M9" s="45"/>
      <x:c r="N9" s="16" t="str">
        <x:v>B02,B03</x:v>
      </x:c>
      <x:c r="O9" s="42"/>
    </x:row>
    <x:row r="10" ht="52" customHeight="1">
      <x:c r="A10" s="20" t="str">
        <x:v>B05</x:v>
      </x:c>
      <x:c r="B10" s="20" t="str">
        <x:v>启动与设计</x:v>
      </x:c>
      <x:c r="C10" s="20" t="str">
        <x:v>确认工单盘号与MES边界</x:v>
      </x:c>
      <x:c r="D10" s="20" t="str">
        <x:v>P0</x:v>
      </x:c>
      <x:c r="E10" s="20" t="str">
        <x:v>G0</x:v>
      </x:c>
      <x:c r="F10" s="20" t="str">
        <x:v>平台后端</x:v>
      </x:c>
      <x:c r="G10" s="42"/>
      <x:c r="H10" s="42" t="str">
        <x:v>未开始</x:v>
      </x:c>
      <x:c r="I10" s="30" t="n">
        <x:f>IF(H10="已完成",1,0)</x:f>
        <x:v>0</x:v>
      </x:c>
      <x:c r="J10" s="44"/>
      <x:c r="K10" s="45"/>
      <x:c r="L10" s="45"/>
      <x:c r="M10" s="45"/>
      <x:c r="N10" s="20" t="str">
        <x:v>B01</x:v>
      </x:c>
      <x:c r="O10" s="42"/>
    </x:row>
    <x:row r="11" ht="52" customHeight="1">
      <x:c r="A11" s="16" t="str">
        <x:v>B06</x:v>
      </x:c>
      <x:c r="B11" s="16" t="str">
        <x:v>启动与设计</x:v>
      </x:c>
      <x:c r="C11" s="16" t="str">
        <x:v>确定架构与数据契约</x:v>
      </x:c>
      <x:c r="D11" s="16" t="str">
        <x:v>P0</x:v>
      </x:c>
      <x:c r="E11" s="16" t="str">
        <x:v>G0</x:v>
      </x:c>
      <x:c r="F11" s="16" t="str">
        <x:v>技术负责人</x:v>
      </x:c>
      <x:c r="G11" s="42"/>
      <x:c r="H11" s="42" t="str">
        <x:v>未开始</x:v>
      </x:c>
      <x:c r="I11" s="31" t="n">
        <x:f>IF(H11="已完成",1,0)</x:f>
        <x:v>0</x:v>
      </x:c>
      <x:c r="J11" s="44"/>
      <x:c r="K11" s="45"/>
      <x:c r="L11" s="45"/>
      <x:c r="M11" s="45"/>
      <x:c r="N11" s="16" t="str">
        <x:v>B02,B03,B04,B05</x:v>
      </x:c>
      <x:c r="O11" s="42"/>
    </x:row>
    <x:row r="12" ht="52" customHeight="1">
      <x:c r="A12" s="20" t="str">
        <x:v>B07</x:v>
      </x:c>
      <x:c r="B12" s="20" t="str">
        <x:v>启动与设计</x:v>
      </x:c>
      <x:c r="C12" s="20" t="str">
        <x:v>完成最小页面原型评审</x:v>
      </x:c>
      <x:c r="D12" s="20" t="str">
        <x:v>P0</x:v>
      </x:c>
      <x:c r="E12" s="20" t="str">
        <x:v>G0</x:v>
      </x:c>
      <x:c r="F12" s="20" t="str">
        <x:v>平台前端</x:v>
      </x:c>
      <x:c r="G12" s="42"/>
      <x:c r="H12" s="42" t="str">
        <x:v>未开始</x:v>
      </x:c>
      <x:c r="I12" s="30" t="n">
        <x:f>IF(H12="已完成",1,0)</x:f>
        <x:v>0</x:v>
      </x:c>
      <x:c r="J12" s="44"/>
      <x:c r="K12" s="45"/>
      <x:c r="L12" s="45"/>
      <x:c r="M12" s="45"/>
      <x:c r="N12" s="20" t="str">
        <x:v>B01,B04,B05</x:v>
      </x:c>
      <x:c r="O12" s="42"/>
    </x:row>
    <x:row r="13" ht="52" customHeight="1">
      <x:c r="A13" s="16" t="str">
        <x:v>F01</x:v>
      </x:c>
      <x:c r="B13" s="16" t="str">
        <x:v>工程基础</x:v>
      </x:c>
      <x:c r="C13" s="16" t="str">
        <x:v>建立仓库与开发运行环境</x:v>
      </x:c>
      <x:c r="D13" s="16" t="str">
        <x:v>P0</x:v>
      </x:c>
      <x:c r="E13" s="16" t="str">
        <x:v>G1</x:v>
      </x:c>
      <x:c r="F13" s="16" t="str">
        <x:v>技术负责人</x:v>
      </x:c>
      <x:c r="G13" s="42"/>
      <x:c r="H13" s="42" t="str">
        <x:v>未开始</x:v>
      </x:c>
      <x:c r="I13" s="31" t="n">
        <x:f>IF(H13="已完成",1,0)</x:f>
        <x:v>0</x:v>
      </x:c>
      <x:c r="J13" s="44"/>
      <x:c r="K13" s="45"/>
      <x:c r="L13" s="45"/>
      <x:c r="M13" s="45"/>
      <x:c r="N13" s="16" t="str">
        <x:v>B06</x:v>
      </x:c>
      <x:c r="O13" s="42"/>
    </x:row>
    <x:row r="14" ht="52" customHeight="1">
      <x:c r="A14" s="20" t="str">
        <x:v>F02</x:v>
      </x:c>
      <x:c r="B14" s="20" t="str">
        <x:v>工程基础</x:v>
      </x:c>
      <x:c r="C14" s="20" t="str">
        <x:v>实现模拟设备与报文回放</x:v>
      </x:c>
      <x:c r="D14" s="20" t="str">
        <x:v>P0</x:v>
      </x:c>
      <x:c r="E14" s="20" t="str">
        <x:v>G1</x:v>
      </x:c>
      <x:c r="F14" s="20" t="str">
        <x:v>接口开发</x:v>
      </x:c>
      <x:c r="G14" s="42"/>
      <x:c r="H14" s="42" t="str">
        <x:v>未开始</x:v>
      </x:c>
      <x:c r="I14" s="30" t="n">
        <x:f>IF(H14="已完成",1,0)</x:f>
        <x:v>0</x:v>
      </x:c>
      <x:c r="J14" s="44"/>
      <x:c r="K14" s="45"/>
      <x:c r="L14" s="45"/>
      <x:c r="M14" s="45"/>
      <x:c r="N14" s="20" t="str">
        <x:v>B06,F01</x:v>
      </x:c>
      <x:c r="O14" s="42"/>
    </x:row>
    <x:row r="15" ht="52" customHeight="1">
      <x:c r="A15" s="16" t="str">
        <x:v>F03</x:v>
      </x:c>
      <x:c r="B15" s="16" t="str">
        <x:v>工程基础</x:v>
      </x:c>
      <x:c r="C15" s="16" t="str">
        <x:v>建立数据库与基础权限</x:v>
      </x:c>
      <x:c r="D15" s="16" t="str">
        <x:v>P0</x:v>
      </x:c>
      <x:c r="E15" s="16" t="str">
        <x:v>G1</x:v>
      </x:c>
      <x:c r="F15" s="16" t="str">
        <x:v>平台后端</x:v>
      </x:c>
      <x:c r="G15" s="42"/>
      <x:c r="H15" s="42" t="str">
        <x:v>未开始</x:v>
      </x:c>
      <x:c r="I15" s="31" t="n">
        <x:f>IF(H15="已完成",1,0)</x:f>
        <x:v>0</x:v>
      </x:c>
      <x:c r="J15" s="44"/>
      <x:c r="K15" s="45"/>
      <x:c r="L15" s="45"/>
      <x:c r="M15" s="45"/>
      <x:c r="N15" s="16" t="str">
        <x:v>F01,B06</x:v>
      </x:c>
      <x:c r="O15" s="42"/>
    </x:row>
    <x:row r="16" ht="52" customHeight="1">
      <x:c r="A16" s="20" t="str">
        <x:v>E01</x:v>
      </x:c>
      <x:c r="B16" s="20" t="str">
        <x:v>产品3设备端</x:v>
      </x:c>
      <x:c r="C16" s="20" t="str">
        <x:v>实现共久数据采集驱动</x:v>
      </x:c>
      <x:c r="D16" s="20" t="str">
        <x:v>P0</x:v>
      </x:c>
      <x:c r="E16" s="20" t="str">
        <x:v>G1</x:v>
      </x:c>
      <x:c r="F16" s="20" t="str">
        <x:v>设备端开发</x:v>
      </x:c>
      <x:c r="G16" s="42"/>
      <x:c r="H16" s="42" t="str">
        <x:v>未开始</x:v>
      </x:c>
      <x:c r="I16" s="30" t="n">
        <x:f>IF(H16="已完成",1,0)</x:f>
        <x:v>0</x:v>
      </x:c>
      <x:c r="J16" s="44"/>
      <x:c r="K16" s="45"/>
      <x:c r="L16" s="45"/>
      <x:c r="M16" s="45"/>
      <x:c r="N16" s="20" t="str">
        <x:v>B03,F01</x:v>
      </x:c>
      <x:c r="O16" s="42"/>
    </x:row>
    <x:row r="17" ht="52" customHeight="1">
      <x:c r="A17" s="16" t="str">
        <x:v>E02</x:v>
      </x:c>
      <x:c r="B17" s="16" t="str">
        <x:v>产品3设备端</x:v>
      </x:c>
      <x:c r="C17" s="16" t="str">
        <x:v>实现数据有效性及时间处理</x:v>
      </x:c>
      <x:c r="D17" s="16" t="str">
        <x:v>P0</x:v>
      </x:c>
      <x:c r="E17" s="16" t="str">
        <x:v>G1</x:v>
      </x:c>
      <x:c r="F17" s="16" t="str">
        <x:v>设备端开发</x:v>
      </x:c>
      <x:c r="G17" s="42"/>
      <x:c r="H17" s="42" t="str">
        <x:v>未开始</x:v>
      </x:c>
      <x:c r="I17" s="31" t="n">
        <x:f>IF(H17="已完成",1,0)</x:f>
        <x:v>0</x:v>
      </x:c>
      <x:c r="J17" s="44"/>
      <x:c r="K17" s="45"/>
      <x:c r="L17" s="45"/>
      <x:c r="M17" s="45"/>
      <x:c r="N17" s="16" t="str">
        <x:v>E01,B04</x:v>
      </x:c>
      <x:c r="O17" s="42"/>
    </x:row>
    <x:row r="18" ht="52" customHeight="1">
      <x:c r="A18" s="20" t="str">
        <x:v>E03</x:v>
      </x:c>
      <x:c r="B18" s="20" t="str">
        <x:v>产品3设备端</x:v>
      </x:c>
      <x:c r="C18" s="20" t="str">
        <x:v>实现测量计算与版本化判定</x:v>
      </x:c>
      <x:c r="D18" s="20" t="str">
        <x:v>P0</x:v>
      </x:c>
      <x:c r="E18" s="20" t="str">
        <x:v>G1</x:v>
      </x:c>
      <x:c r="F18" s="20" t="str">
        <x:v>设备端开发</x:v>
      </x:c>
      <x:c r="G18" s="42"/>
      <x:c r="H18" s="42" t="str">
        <x:v>未开始</x:v>
      </x:c>
      <x:c r="I18" s="30" t="n">
        <x:f>IF(H18="已完成",1,0)</x:f>
        <x:v>0</x:v>
      </x:c>
      <x:c r="J18" s="44"/>
      <x:c r="K18" s="45"/>
      <x:c r="L18" s="45"/>
      <x:c r="M18" s="45"/>
      <x:c r="N18" s="20" t="str">
        <x:v>E02,B04</x:v>
      </x:c>
      <x:c r="O18" s="42"/>
    </x:row>
    <x:row r="19" ht="52" customHeight="1">
      <x:c r="A19" s="16" t="str">
        <x:v>E04</x:v>
      </x:c>
      <x:c r="B19" s="16" t="str">
        <x:v>产品3设备端</x:v>
      </x:c>
      <x:c r="C19" s="16" t="str">
        <x:v>实现现场检测主界面</x:v>
      </x:c>
      <x:c r="D19" s="16" t="str">
        <x:v>P0</x:v>
      </x:c>
      <x:c r="E19" s="16" t="str">
        <x:v>G1</x:v>
      </x:c>
      <x:c r="F19" s="16" t="str">
        <x:v>设备端前端</x:v>
      </x:c>
      <x:c r="G19" s="42"/>
      <x:c r="H19" s="42" t="str">
        <x:v>未开始</x:v>
      </x:c>
      <x:c r="I19" s="31" t="n">
        <x:f>IF(H19="已完成",1,0)</x:f>
        <x:v>0</x:v>
      </x:c>
      <x:c r="J19" s="44"/>
      <x:c r="K19" s="45"/>
      <x:c r="L19" s="45"/>
      <x:c r="M19" s="45"/>
      <x:c r="N19" s="16" t="str">
        <x:v>E02,E03,B07</x:v>
      </x:c>
      <x:c r="O19" s="42"/>
    </x:row>
    <x:row r="20" ht="52" customHeight="1">
      <x:c r="A20" s="20" t="str">
        <x:v>E05</x:v>
      </x:c>
      <x:c r="B20" s="20" t="str">
        <x:v>产品3设备端</x:v>
      </x:c>
      <x:c r="C20" s="20" t="str">
        <x:v>实现任务与计米关联</x:v>
      </x:c>
      <x:c r="D20" s="20" t="str">
        <x:v>P0</x:v>
      </x:c>
      <x:c r="E20" s="20" t="str">
        <x:v>G1</x:v>
      </x:c>
      <x:c r="F20" s="20" t="str">
        <x:v>设备端开发</x:v>
      </x:c>
      <x:c r="G20" s="42"/>
      <x:c r="H20" s="42" t="str">
        <x:v>未开始</x:v>
      </x:c>
      <x:c r="I20" s="30" t="n">
        <x:f>IF(H20="已完成",1,0)</x:f>
        <x:v>0</x:v>
      </x:c>
      <x:c r="J20" s="44"/>
      <x:c r="K20" s="45"/>
      <x:c r="L20" s="45"/>
      <x:c r="M20" s="45"/>
      <x:c r="N20" s="20" t="str">
        <x:v>E02,B05</x:v>
      </x:c>
      <x:c r="O20" s="42"/>
    </x:row>
    <x:row r="21" ht="52" customHeight="1">
      <x:c r="A21" s="16" t="str">
        <x:v>E06</x:v>
      </x:c>
      <x:c r="B21" s="16" t="str">
        <x:v>产品3设备端</x:v>
      </x:c>
      <x:c r="C21" s="16" t="str">
        <x:v>实现现场报警与确认</x:v>
      </x:c>
      <x:c r="D21" s="16" t="str">
        <x:v>P0</x:v>
      </x:c>
      <x:c r="E21" s="16" t="str">
        <x:v>G1</x:v>
      </x:c>
      <x:c r="F21" s="16" t="str">
        <x:v>设备端开发</x:v>
      </x:c>
      <x:c r="G21" s="42"/>
      <x:c r="H21" s="42" t="str">
        <x:v>未开始</x:v>
      </x:c>
      <x:c r="I21" s="31" t="n">
        <x:f>IF(H21="已完成",1,0)</x:f>
        <x:v>0</x:v>
      </x:c>
      <x:c r="J21" s="44"/>
      <x:c r="K21" s="45"/>
      <x:c r="L21" s="45"/>
      <x:c r="M21" s="45"/>
      <x:c r="N21" s="16" t="str">
        <x:v>E03,E04</x:v>
      </x:c>
      <x:c r="O21" s="42"/>
    </x:row>
    <x:row r="22" ht="52" customHeight="1">
      <x:c r="A22" s="20" t="str">
        <x:v>E07</x:v>
      </x:c>
      <x:c r="B22" s="20" t="str">
        <x:v>产品3设备端</x:v>
      </x:c>
      <x:c r="C22" s="20" t="str">
        <x:v>实现本地持久化及可靠上传</x:v>
      </x:c>
      <x:c r="D22" s="20" t="str">
        <x:v>P0</x:v>
      </x:c>
      <x:c r="E22" s="20" t="str">
        <x:v>G1</x:v>
      </x:c>
      <x:c r="F22" s="20" t="str">
        <x:v>设备端开发</x:v>
      </x:c>
      <x:c r="G22" s="42"/>
      <x:c r="H22" s="42" t="str">
        <x:v>未开始</x:v>
      </x:c>
      <x:c r="I22" s="30" t="n">
        <x:f>IF(H22="已完成",1,0)</x:f>
        <x:v>0</x:v>
      </x:c>
      <x:c r="J22" s="44"/>
      <x:c r="K22" s="45"/>
      <x:c r="L22" s="45"/>
      <x:c r="M22" s="45"/>
      <x:c r="N22" s="20" t="str">
        <x:v>E02,F03,B06</x:v>
      </x:c>
      <x:c r="O22" s="42"/>
    </x:row>
    <x:row r="23" ht="52" customHeight="1">
      <x:c r="A23" s="16" t="str">
        <x:v>E08</x:v>
      </x:c>
      <x:c r="B23" s="16" t="str">
        <x:v>产品3设备端</x:v>
      </x:c>
      <x:c r="C23" s="16" t="str">
        <x:v>实现启动守护与诊断打包</x:v>
      </x:c>
      <x:c r="D23" s="16" t="str">
        <x:v>P0</x:v>
      </x:c>
      <x:c r="E23" s="16" t="str">
        <x:v>G3</x:v>
      </x:c>
      <x:c r="F23" s="16" t="str">
        <x:v>设备端开发</x:v>
      </x:c>
      <x:c r="G23" s="42"/>
      <x:c r="H23" s="42" t="str">
        <x:v>未开始</x:v>
      </x:c>
      <x:c r="I23" s="31" t="n">
        <x:f>IF(H23="已完成",1,0)</x:f>
        <x:v>0</x:v>
      </x:c>
      <x:c r="J23" s="44"/>
      <x:c r="K23" s="45"/>
      <x:c r="L23" s="45"/>
      <x:c r="M23" s="45"/>
      <x:c r="N23" s="16" t="str">
        <x:v>E04,E06,E07</x:v>
      </x:c>
      <x:c r="O23" s="42"/>
    </x:row>
    <x:row r="24" ht="52" customHeight="1">
      <x:c r="A24" s="20" t="str">
        <x:v>O01</x:v>
      </x:c>
      <x:c r="B24" s="20" t="str">
        <x:v>浪潮ODM接入</x:v>
      </x:c>
      <x:c r="C24" s="20" t="str">
        <x:v>实现产品1搭盖率接入适配</x:v>
      </x:c>
      <x:c r="D24" s="20" t="str">
        <x:v>P0</x:v>
      </x:c>
      <x:c r="E24" s="20" t="str">
        <x:v>G1</x:v>
      </x:c>
      <x:c r="F24" s="20" t="str">
        <x:v>接口开发</x:v>
      </x:c>
      <x:c r="G24" s="42"/>
      <x:c r="H24" s="42" t="str">
        <x:v>未开始</x:v>
      </x:c>
      <x:c r="I24" s="30" t="n">
        <x:f>IF(H24="已完成",1,0)</x:f>
        <x:v>0</x:v>
      </x:c>
      <x:c r="J24" s="44"/>
      <x:c r="K24" s="45"/>
      <x:c r="L24" s="45"/>
      <x:c r="M24" s="45"/>
      <x:c r="N24" s="20" t="str">
        <x:v>B02,F02,F03</x:v>
      </x:c>
      <x:c r="O24" s="42"/>
    </x:row>
    <x:row r="25" ht="52" customHeight="1">
      <x:c r="A25" s="16" t="str">
        <x:v>O02</x:v>
      </x:c>
      <x:c r="B25" s="16" t="str">
        <x:v>浪潮ODM接入</x:v>
      </x:c>
      <x:c r="C25" s="16" t="str">
        <x:v>实现产品2铜丝间隙接入适配</x:v>
      </x:c>
      <x:c r="D25" s="16" t="str">
        <x:v>P0</x:v>
      </x:c>
      <x:c r="E25" s="16" t="str">
        <x:v>G1</x:v>
      </x:c>
      <x:c r="F25" s="16" t="str">
        <x:v>接口开发</x:v>
      </x:c>
      <x:c r="G25" s="42"/>
      <x:c r="H25" s="42" t="str">
        <x:v>未开始</x:v>
      </x:c>
      <x:c r="I25" s="31" t="n">
        <x:f>IF(H25="已完成",1,0)</x:f>
        <x:v>0</x:v>
      </x:c>
      <x:c r="J25" s="44"/>
      <x:c r="K25" s="45"/>
      <x:c r="L25" s="45"/>
      <x:c r="M25" s="45"/>
      <x:c r="N25" s="16" t="str">
        <x:v>B02,B04,F02,F03</x:v>
      </x:c>
      <x:c r="O25" s="42"/>
    </x:row>
    <x:row r="26" ht="52" customHeight="1">
      <x:c r="A26" s="20" t="str">
        <x:v>O03</x:v>
      </x:c>
      <x:c r="B26" s="20" t="str">
        <x:v>浪潮ODM接入</x:v>
      </x:c>
      <x:c r="C26" s="20" t="str">
        <x:v>完成两款真机数据与证据联调</x:v>
      </x:c>
      <x:c r="D26" s="20" t="str">
        <x:v>P0</x:v>
      </x:c>
      <x:c r="E26" s="20" t="str">
        <x:v>G3</x:v>
      </x:c>
      <x:c r="F26" s="20" t="str">
        <x:v>接口开发＋测试</x:v>
      </x:c>
      <x:c r="G26" s="42"/>
      <x:c r="H26" s="42" t="str">
        <x:v>未开始</x:v>
      </x:c>
      <x:c r="I26" s="30" t="n">
        <x:f>IF(H26="已完成",1,0)</x:f>
        <x:v>0</x:v>
      </x:c>
      <x:c r="J26" s="44"/>
      <x:c r="K26" s="45"/>
      <x:c r="L26" s="45"/>
      <x:c r="M26" s="45"/>
      <x:c r="N26" s="20" t="str">
        <x:v>O01,O02,P05</x:v>
      </x:c>
      <x:c r="O26" s="42"/>
    </x:row>
    <x:row r="27" ht="52" customHeight="1">
      <x:c r="A27" s="16" t="str">
        <x:v>P01</x:v>
      </x:c>
      <x:c r="B27" s="16" t="str">
        <x:v>统一平台</x:v>
      </x:c>
      <x:c r="C27" s="16" t="str">
        <x:v>实现基础档案及检测任务管理</x:v>
      </x:c>
      <x:c r="D27" s="16" t="str">
        <x:v>P0</x:v>
      </x:c>
      <x:c r="E27" s="16" t="str">
        <x:v>G1</x:v>
      </x:c>
      <x:c r="F27" s="16" t="str">
        <x:v>平台后端＋前端</x:v>
      </x:c>
      <x:c r="G27" s="42"/>
      <x:c r="H27" s="42" t="str">
        <x:v>未开始</x:v>
      </x:c>
      <x:c r="I27" s="31" t="n">
        <x:f>IF(H27="已完成",1,0)</x:f>
        <x:v>0</x:v>
      </x:c>
      <x:c r="J27" s="44"/>
      <x:c r="K27" s="45"/>
      <x:c r="L27" s="45"/>
      <x:c r="M27" s="45"/>
      <x:c r="N27" s="16" t="str">
        <x:v>F03,B07</x:v>
      </x:c>
      <x:c r="O27" s="42"/>
    </x:row>
    <x:row r="28" ht="52" customHeight="1">
      <x:c r="A28" s="20" t="str">
        <x:v>P02</x:v>
      </x:c>
      <x:c r="B28" s="20" t="str">
        <x:v>统一平台</x:v>
      </x:c>
      <x:c r="C28" s="20" t="str">
        <x:v>实现可扩展指标与配方管理</x:v>
      </x:c>
      <x:c r="D28" s="20" t="str">
        <x:v>P0</x:v>
      </x:c>
      <x:c r="E28" s="20" t="str">
        <x:v>G1</x:v>
      </x:c>
      <x:c r="F28" s="20" t="str">
        <x:v>平台后端＋前端</x:v>
      </x:c>
      <x:c r="G28" s="42"/>
      <x:c r="H28" s="42" t="str">
        <x:v>未开始</x:v>
      </x:c>
      <x:c r="I28" s="30" t="n">
        <x:f>IF(H28="已完成",1,0)</x:f>
        <x:v>0</x:v>
      </x:c>
      <x:c r="J28" s="44"/>
      <x:c r="K28" s="45"/>
      <x:c r="L28" s="45"/>
      <x:c r="M28" s="45"/>
      <x:c r="N28" s="20" t="str">
        <x:v>F03,B04</x:v>
      </x:c>
      <x:c r="O28" s="42"/>
    </x:row>
    <x:row r="29" ht="52" customHeight="1">
      <x:c r="A29" s="16" t="str">
        <x:v>P03</x:v>
      </x:c>
      <x:c r="B29" s="16" t="str">
        <x:v>统一平台</x:v>
      </x:c>
      <x:c r="C29" s="16" t="str">
        <x:v>实现统一数据接收与幂等处理</x:v>
      </x:c>
      <x:c r="D29" s="16" t="str">
        <x:v>P0</x:v>
      </x:c>
      <x:c r="E29" s="16" t="str">
        <x:v>G1</x:v>
      </x:c>
      <x:c r="F29" s="16" t="str">
        <x:v>平台后端</x:v>
      </x:c>
      <x:c r="G29" s="42"/>
      <x:c r="H29" s="42" t="str">
        <x:v>未开始</x:v>
      </x:c>
      <x:c r="I29" s="31" t="n">
        <x:f>IF(H29="已完成",1,0)</x:f>
        <x:v>0</x:v>
      </x:c>
      <x:c r="J29" s="44"/>
      <x:c r="K29" s="45"/>
      <x:c r="L29" s="45"/>
      <x:c r="M29" s="45"/>
      <x:c r="N29" s="16" t="str">
        <x:v>F03,B06</x:v>
      </x:c>
      <x:c r="O29" s="42"/>
    </x:row>
    <x:row r="30" ht="52" customHeight="1">
      <x:c r="A30" s="20" t="str">
        <x:v>P04</x:v>
      </x:c>
      <x:c r="B30" s="20" t="str">
        <x:v>统一平台</x:v>
      </x:c>
      <x:c r="C30" s="20" t="str">
        <x:v>实现总览与三类实时专题页</x:v>
      </x:c>
      <x:c r="D30" s="20" t="str">
        <x:v>P0</x:v>
      </x:c>
      <x:c r="E30" s="20" t="str">
        <x:v>G1</x:v>
      </x:c>
      <x:c r="F30" s="20" t="str">
        <x:v>平台前端</x:v>
      </x:c>
      <x:c r="G30" s="42"/>
      <x:c r="H30" s="42" t="str">
        <x:v>未开始</x:v>
      </x:c>
      <x:c r="I30" s="30" t="n">
        <x:f>IF(H30="已完成",1,0)</x:f>
        <x:v>0</x:v>
      </x:c>
      <x:c r="J30" s="44"/>
      <x:c r="K30" s="45"/>
      <x:c r="L30" s="45"/>
      <x:c r="M30" s="45"/>
      <x:c r="N30" s="20" t="str">
        <x:v>B07,P01,P02,P03</x:v>
      </x:c>
      <x:c r="O30" s="42"/>
    </x:row>
    <x:row r="31" ht="52" customHeight="1">
      <x:c r="A31" s="16" t="str">
        <x:v>P05</x:v>
      </x:c>
      <x:c r="B31" s="16" t="str">
        <x:v>统一平台</x:v>
      </x:c>
      <x:c r="C31" s="16" t="str">
        <x:v>实现盘号追溯与证据查看</x:v>
      </x:c>
      <x:c r="D31" s="16" t="str">
        <x:v>P0</x:v>
      </x:c>
      <x:c r="E31" s="16" t="str">
        <x:v>G2</x:v>
      </x:c>
      <x:c r="F31" s="16" t="str">
        <x:v>平台后端＋前端</x:v>
      </x:c>
      <x:c r="G31" s="42"/>
      <x:c r="H31" s="42" t="str">
        <x:v>未开始</x:v>
      </x:c>
      <x:c r="I31" s="31" t="n">
        <x:f>IF(H31="已完成",1,0)</x:f>
        <x:v>0</x:v>
      </x:c>
      <x:c r="J31" s="44"/>
      <x:c r="K31" s="45"/>
      <x:c r="L31" s="45"/>
      <x:c r="M31" s="45"/>
      <x:c r="N31" s="16" t="str">
        <x:v>P01,P03</x:v>
      </x:c>
      <x:c r="O31" s="42"/>
    </x:row>
    <x:row r="32" ht="52" customHeight="1">
      <x:c r="A32" s="20" t="str">
        <x:v>P06</x:v>
      </x:c>
      <x:c r="B32" s="20" t="str">
        <x:v>统一平台</x:v>
      </x:c>
      <x:c r="C32" s="20" t="str">
        <x:v>实现异常处理闭环</x:v>
      </x:c>
      <x:c r="D32" s="20" t="str">
        <x:v>P0</x:v>
      </x:c>
      <x:c r="E32" s="20" t="str">
        <x:v>G2</x:v>
      </x:c>
      <x:c r="F32" s="20" t="str">
        <x:v>平台后端＋前端</x:v>
      </x:c>
      <x:c r="G32" s="42"/>
      <x:c r="H32" s="42" t="str">
        <x:v>未开始</x:v>
      </x:c>
      <x:c r="I32" s="30" t="n">
        <x:f>IF(H32="已完成",1,0)</x:f>
        <x:v>0</x:v>
      </x:c>
      <x:c r="J32" s="44"/>
      <x:c r="K32" s="45"/>
      <x:c r="L32" s="45"/>
      <x:c r="M32" s="45"/>
      <x:c r="N32" s="20" t="str">
        <x:v>P05,E06</x:v>
      </x:c>
      <x:c r="O32" s="42"/>
    </x:row>
    <x:row r="33" ht="52" customHeight="1">
      <x:c r="A33" s="16" t="str">
        <x:v>P07</x:v>
      </x:c>
      <x:c r="B33" s="16" t="str">
        <x:v>统一平台</x:v>
      </x:c>
      <x:c r="C33" s="16" t="str">
        <x:v>实现通用文件导入和人工录入</x:v>
      </x:c>
      <x:c r="D33" s="16" t="str">
        <x:v>P0</x:v>
      </x:c>
      <x:c r="E33" s="16" t="str">
        <x:v>G2</x:v>
      </x:c>
      <x:c r="F33" s="16" t="str">
        <x:v>平台后端＋前端</x:v>
      </x:c>
      <x:c r="G33" s="42"/>
      <x:c r="H33" s="42" t="str">
        <x:v>未开始</x:v>
      </x:c>
      <x:c r="I33" s="31" t="n">
        <x:f>IF(H33="已完成",1,0)</x:f>
        <x:v>0</x:v>
      </x:c>
      <x:c r="J33" s="44"/>
      <x:c r="K33" s="45"/>
      <x:c r="L33" s="45"/>
      <x:c r="M33" s="45"/>
      <x:c r="N33" s="16" t="str">
        <x:v>P02,P03</x:v>
      </x:c>
      <x:c r="O33" s="42"/>
    </x:row>
    <x:row r="34" ht="52" customHeight="1">
      <x:c r="A34" s="20" t="str">
        <x:v>P08</x:v>
      </x:c>
      <x:c r="B34" s="20" t="str">
        <x:v>统一平台</x:v>
      </x:c>
      <x:c r="C34" s="20" t="str">
        <x:v>实现每盘质量报告及表格导出</x:v>
      </x:c>
      <x:c r="D34" s="20" t="str">
        <x:v>P0</x:v>
      </x:c>
      <x:c r="E34" s="20" t="str">
        <x:v>G2</x:v>
      </x:c>
      <x:c r="F34" s="20" t="str">
        <x:v>平台后端＋前端</x:v>
      </x:c>
      <x:c r="G34" s="42"/>
      <x:c r="H34" s="42" t="str">
        <x:v>未开始</x:v>
      </x:c>
      <x:c r="I34" s="30" t="n">
        <x:f>IF(H34="已完成",1,0)</x:f>
        <x:v>0</x:v>
      </x:c>
      <x:c r="J34" s="44"/>
      <x:c r="K34" s="45"/>
      <x:c r="L34" s="45"/>
      <x:c r="M34" s="45"/>
      <x:c r="N34" s="20" t="str">
        <x:v>P05,P06,P07</x:v>
      </x:c>
      <x:c r="O34" s="42"/>
    </x:row>
    <x:row r="35" ht="52" customHeight="1">
      <x:c r="A35" s="16" t="str">
        <x:v>P09</x:v>
      </x:c>
      <x:c r="B35" s="16" t="str">
        <x:v>统一平台</x:v>
      </x:c>
      <x:c r="C35" s="16" t="str">
        <x:v>完善权限审计、存储与备份</x:v>
      </x:c>
      <x:c r="D35" s="16" t="str">
        <x:v>P0</x:v>
      </x:c>
      <x:c r="E35" s="16" t="str">
        <x:v>G3</x:v>
      </x:c>
      <x:c r="F35" s="16" t="str">
        <x:v>平台后端</x:v>
      </x:c>
      <x:c r="G35" s="42"/>
      <x:c r="H35" s="42" t="str">
        <x:v>未开始</x:v>
      </x:c>
      <x:c r="I35" s="31" t="n">
        <x:f>IF(H35="已完成",1,0)</x:f>
        <x:v>0</x:v>
      </x:c>
      <x:c r="J35" s="44"/>
      <x:c r="K35" s="45"/>
      <x:c r="L35" s="45"/>
      <x:c r="M35" s="45"/>
      <x:c r="N35" s="16" t="str">
        <x:v>F03,P05,P07</x:v>
      </x:c>
      <x:c r="O35" s="42"/>
    </x:row>
    <x:row r="36" ht="52" customHeight="1">
      <x:c r="A36" s="20" t="str">
        <x:v>P10</x:v>
      </x:c>
      <x:c r="B36" s="20" t="str">
        <x:v>统一平台</x:v>
      </x:c>
      <x:c r="C36" s="20" t="str">
        <x:v>扩展质量分析与定制报表</x:v>
      </x:c>
      <x:c r="D36" s="20" t="str">
        <x:v>P1</x:v>
      </x:c>
      <x:c r="E36" s="20" t="str">
        <x:v>G5</x:v>
      </x:c>
      <x:c r="F36" s="20" t="str">
        <x:v>平台后端＋前端</x:v>
      </x:c>
      <x:c r="G36" s="42"/>
      <x:c r="H36" s="42" t="str">
        <x:v>未开始</x:v>
      </x:c>
      <x:c r="I36" s="30" t="n">
        <x:f>IF(H36="已完成",1,0)</x:f>
        <x:v>0</x:v>
      </x:c>
      <x:c r="J36" s="44"/>
      <x:c r="K36" s="45"/>
      <x:c r="L36" s="45"/>
      <x:c r="M36" s="45"/>
      <x:c r="N36" s="20" t="str">
        <x:v>P08</x:v>
      </x:c>
      <x:c r="O36" s="42"/>
    </x:row>
    <x:row r="37" ht="52" customHeight="1">
      <x:c r="A37" s="16" t="str">
        <x:v>M01</x:v>
      </x:c>
      <x:c r="B37" s="16" t="str">
        <x:v>MES对接</x:v>
      </x:c>
      <x:c r="C37" s="16" t="str">
        <x:v>实现标准出站数据和映射配置</x:v>
      </x:c>
      <x:c r="D37" s="16" t="str">
        <x:v>P0</x:v>
      </x:c>
      <x:c r="E37" s="16" t="str">
        <x:v>G2</x:v>
      </x:c>
      <x:c r="F37" s="16" t="str">
        <x:v>平台后端</x:v>
      </x:c>
      <x:c r="G37" s="42"/>
      <x:c r="H37" s="42" t="str">
        <x:v>未开始</x:v>
      </x:c>
      <x:c r="I37" s="31" t="n">
        <x:f>IF(H37="已完成",1,0)</x:f>
        <x:v>0</x:v>
      </x:c>
      <x:c r="J37" s="44"/>
      <x:c r="K37" s="45"/>
      <x:c r="L37" s="45"/>
      <x:c r="M37" s="45"/>
      <x:c r="N37" s="16" t="str">
        <x:v>B05,P03,P08</x:v>
      </x:c>
      <x:c r="O37" s="42"/>
    </x:row>
    <x:row r="38" ht="52" customHeight="1">
      <x:c r="A38" s="20" t="str">
        <x:v>M02</x:v>
      </x:c>
      <x:c r="B38" s="20" t="str">
        <x:v>MES对接</x:v>
      </x:c>
      <x:c r="C38" s="20" t="str">
        <x:v>实现发送、确认、重试和对账</x:v>
      </x:c>
      <x:c r="D38" s="20" t="str">
        <x:v>P0</x:v>
      </x:c>
      <x:c r="E38" s="20" t="str">
        <x:v>G2</x:v>
      </x:c>
      <x:c r="F38" s="20" t="str">
        <x:v>平台后端</x:v>
      </x:c>
      <x:c r="G38" s="42"/>
      <x:c r="H38" s="42" t="str">
        <x:v>未开始</x:v>
      </x:c>
      <x:c r="I38" s="30" t="n">
        <x:f>IF(H38="已完成",1,0)</x:f>
        <x:v>0</x:v>
      </x:c>
      <x:c r="J38" s="44"/>
      <x:c r="K38" s="45"/>
      <x:c r="L38" s="45"/>
      <x:c r="M38" s="45"/>
      <x:c r="N38" s="20" t="str">
        <x:v>M01</x:v>
      </x:c>
      <x:c r="O38" s="42"/>
    </x:row>
    <x:row r="39" ht="52" customHeight="1">
      <x:c r="A39" s="16" t="str">
        <x:v>M03</x:v>
      </x:c>
      <x:c r="B39" s="16" t="str">
        <x:v>MES对接</x:v>
      </x:c>
      <x:c r="C39" s="16" t="str">
        <x:v>完成客户MES端到端联调</x:v>
      </x:c>
      <x:c r="D39" s="16" t="str">
        <x:v>P0</x:v>
      </x:c>
      <x:c r="E39" s="16" t="str">
        <x:v>G3</x:v>
      </x:c>
      <x:c r="F39" s="16" t="str">
        <x:v>接口开发＋测试</x:v>
      </x:c>
      <x:c r="G39" s="42"/>
      <x:c r="H39" s="42" t="str">
        <x:v>未开始</x:v>
      </x:c>
      <x:c r="I39" s="31" t="n">
        <x:f>IF(H39="已完成",1,0)</x:f>
        <x:v>0</x:v>
      </x:c>
      <x:c r="J39" s="44"/>
      <x:c r="K39" s="45"/>
      <x:c r="L39" s="45"/>
      <x:c r="M39" s="45"/>
      <x:c r="N39" s="16" t="str">
        <x:v>M02,O03,E07</x:v>
      </x:c>
      <x:c r="O39" s="42"/>
    </x:row>
    <x:row r="40" ht="52" customHeight="1">
      <x:c r="A40" s="20" t="str">
        <x:v>Q01</x:v>
      </x:c>
      <x:c r="B40" s="20" t="str">
        <x:v>测试与交付</x:v>
      </x:c>
      <x:c r="C40" s="20" t="str">
        <x:v>执行计算、规则与权限自动测试</x:v>
      </x:c>
      <x:c r="D40" s="20" t="str">
        <x:v>P0</x:v>
      </x:c>
      <x:c r="E40" s="20" t="str">
        <x:v>G1</x:v>
      </x:c>
      <x:c r="F40" s="20" t="str">
        <x:v>测试＋开发互测</x:v>
      </x:c>
      <x:c r="G40" s="42"/>
      <x:c r="H40" s="42" t="str">
        <x:v>未开始</x:v>
      </x:c>
      <x:c r="I40" s="30" t="n">
        <x:f>IF(H40="已完成",1,0)</x:f>
        <x:v>0</x:v>
      </x:c>
      <x:c r="J40" s="44"/>
      <x:c r="K40" s="45"/>
      <x:c r="L40" s="45"/>
      <x:c r="M40" s="45"/>
      <x:c r="N40" s="20" t="str">
        <x:v>F02,E03,P02,P03</x:v>
      </x:c>
      <x:c r="O40" s="42"/>
    </x:row>
    <x:row r="41" ht="52" customHeight="1">
      <x:c r="A41" s="16" t="str">
        <x:v>Q02</x:v>
      </x:c>
      <x:c r="B41" s="16" t="str">
        <x:v>测试与交付</x:v>
      </x:c>
      <x:c r="C41" s="16" t="str">
        <x:v>执行断线、重启及数据恢复测试</x:v>
      </x:c>
      <x:c r="D41" s="16" t="str">
        <x:v>P0</x:v>
      </x:c>
      <x:c r="E41" s="16" t="str">
        <x:v>G3</x:v>
      </x:c>
      <x:c r="F41" s="16" t="str">
        <x:v>测试＋开发互测</x:v>
      </x:c>
      <x:c r="G41" s="42"/>
      <x:c r="H41" s="42" t="str">
        <x:v>未开始</x:v>
      </x:c>
      <x:c r="I41" s="31" t="n">
        <x:f>IF(H41="已完成",1,0)</x:f>
        <x:v>0</x:v>
      </x:c>
      <x:c r="J41" s="44"/>
      <x:c r="K41" s="45"/>
      <x:c r="L41" s="45"/>
      <x:c r="M41" s="45"/>
      <x:c r="N41" s="16" t="str">
        <x:v>E07,E08,M02,P09</x:v>
      </x:c>
      <x:c r="O41" s="42"/>
    </x:row>
    <x:row r="42" ht="52" customHeight="1">
      <x:c r="A42" s="20" t="str">
        <x:v>Q03</x:v>
      </x:c>
      <x:c r="B42" s="20" t="str">
        <x:v>测试与交付</x:v>
      </x:c>
      <x:c r="C42" s="20" t="str">
        <x:v>执行真机精度与场景验证</x:v>
      </x:c>
      <x:c r="D42" s="20" t="str">
        <x:v>P0</x:v>
      </x:c>
      <x:c r="E42" s="20" t="str">
        <x:v>G3</x:v>
      </x:c>
      <x:c r="F42" s="20" t="str">
        <x:v>项目负责人＋测试</x:v>
      </x:c>
      <x:c r="G42" s="42"/>
      <x:c r="H42" s="42" t="str">
        <x:v>未开始</x:v>
      </x:c>
      <x:c r="I42" s="30" t="n">
        <x:f>IF(H42="已完成",1,0)</x:f>
        <x:v>0</x:v>
      </x:c>
      <x:c r="J42" s="44"/>
      <x:c r="K42" s="45"/>
      <x:c r="L42" s="45"/>
      <x:c r="M42" s="45"/>
      <x:c r="N42" s="20" t="str">
        <x:v>B04,E03,O03</x:v>
      </x:c>
      <x:c r="O42" s="42"/>
    </x:row>
    <x:row r="43" ht="52" customHeight="1">
      <x:c r="A43" s="16" t="str">
        <x:v>Q04</x:v>
      </x:c>
      <x:c r="B43" s="16" t="str">
        <x:v>测试与交付</x:v>
      </x:c>
      <x:c r="C43" s="16" t="str">
        <x:v>执行持续运行与容量验证</x:v>
      </x:c>
      <x:c r="D43" s="16" t="str">
        <x:v>P0</x:v>
      </x:c>
      <x:c r="E43" s="16" t="str">
        <x:v>G3</x:v>
      </x:c>
      <x:c r="F43" s="16" t="str">
        <x:v>测试＋技术负责人</x:v>
      </x:c>
      <x:c r="G43" s="42"/>
      <x:c r="H43" s="42" t="str">
        <x:v>未开始</x:v>
      </x:c>
      <x:c r="I43" s="31" t="n">
        <x:f>IF(H43="已完成",1,0)</x:f>
        <x:v>0</x:v>
      </x:c>
      <x:c r="J43" s="44"/>
      <x:c r="K43" s="45"/>
      <x:c r="L43" s="45"/>
      <x:c r="M43" s="45"/>
      <x:c r="N43" s="16" t="str">
        <x:v>O03,E08,P09,M02</x:v>
      </x:c>
      <x:c r="O43" s="42"/>
    </x:row>
    <x:row r="44" ht="52" customHeight="1">
      <x:c r="A44" s="20" t="str">
        <x:v>Q05</x:v>
      </x:c>
      <x:c r="B44" s="20" t="str">
        <x:v>测试与交付</x:v>
      </x:c>
      <x:c r="C44" s="20" t="str">
        <x:v>形成安装、升级及回滚包</x:v>
      </x:c>
      <x:c r="D44" s="20" t="str">
        <x:v>P0</x:v>
      </x:c>
      <x:c r="E44" s="20" t="str">
        <x:v>G4</x:v>
      </x:c>
      <x:c r="F44" s="20" t="str">
        <x:v>技术负责人</x:v>
      </x:c>
      <x:c r="G44" s="42"/>
      <x:c r="H44" s="42" t="str">
        <x:v>未开始</x:v>
      </x:c>
      <x:c r="I44" s="30" t="n">
        <x:f>IF(H44="已完成",1,0)</x:f>
        <x:v>0</x:v>
      </x:c>
      <x:c r="J44" s="44"/>
      <x:c r="K44" s="45"/>
      <x:c r="L44" s="45"/>
      <x:c r="M44" s="45"/>
      <x:c r="N44" s="20" t="str">
        <x:v>Q01,Q02,Q03,Q04,M03</x:v>
      </x:c>
      <x:c r="O44" s="42"/>
    </x:row>
    <x:row r="45" ht="52" customHeight="1">
      <x:c r="A45" s="16" t="str">
        <x:v>Q06</x:v>
      </x:c>
      <x:c r="B45" s="16" t="str">
        <x:v>测试与交付</x:v>
      </x:c>
      <x:c r="C45" s="16" t="str">
        <x:v>完成试点验收与问题关闭</x:v>
      </x:c>
      <x:c r="D45" s="16" t="str">
        <x:v>P0</x:v>
      </x:c>
      <x:c r="E45" s="16" t="str">
        <x:v>G4</x:v>
      </x:c>
      <x:c r="F45" s="16" t="str">
        <x:v>项目负责人＋测试</x:v>
      </x:c>
      <x:c r="G45" s="42"/>
      <x:c r="H45" s="42" t="str">
        <x:v>未开始</x:v>
      </x:c>
      <x:c r="I45" s="31" t="n">
        <x:f>IF(H45="已完成",1,0)</x:f>
        <x:v>0</x:v>
      </x:c>
      <x:c r="J45" s="44"/>
      <x:c r="K45" s="45"/>
      <x:c r="L45" s="45"/>
      <x:c r="M45" s="45"/>
      <x:c r="N45" s="16" t="str">
        <x:v>Q05</x:v>
      </x:c>
      <x:c r="O45" s="42"/>
    </x:row>
    <x:row r="46" ht="52" customHeight="1">
      <x:c r="A46" s="20" t="str">
        <x:v>X01</x:v>
      </x:c>
      <x:c r="B46" s="20" t="str">
        <x:v>后续扩展</x:v>
      </x:c>
      <x:c r="C46" s="20" t="str">
        <x:v>接入新的第三方检测设备</x:v>
      </x:c>
      <x:c r="D46" s="20" t="str">
        <x:v>P2</x:v>
      </x:c>
      <x:c r="E46" s="20" t="str">
        <x:v>G5</x:v>
      </x:c>
      <x:c r="F46" s="20" t="str">
        <x:v>接口开发</x:v>
      </x:c>
      <x:c r="G46" s="42"/>
      <x:c r="H46" s="42" t="str">
        <x:v>未开始</x:v>
      </x:c>
      <x:c r="I46" s="30" t="n">
        <x:f>IF(H46="已完成",1,0)</x:f>
        <x:v>0</x:v>
      </x:c>
      <x:c r="J46" s="44"/>
      <x:c r="K46" s="45"/>
      <x:c r="L46" s="45"/>
      <x:c r="M46" s="45"/>
      <x:c r="N46" s="20" t="str">
        <x:v>P02,P03,P07</x:v>
      </x:c>
      <x:c r="O46" s="42"/>
    </x:row>
    <x:row r="47" ht="52" customHeight="1">
      <x:c r="A47" s="16" t="str">
        <x:v>X02</x:v>
      </x:c>
      <x:c r="B47" s="16" t="str">
        <x:v>后续扩展</x:v>
      </x:c>
      <x:c r="C47" s="16" t="str">
        <x:v>新增视觉识别或特殊测量能力</x:v>
      </x:c>
      <x:c r="D47" s="16" t="str">
        <x:v>P2</x:v>
      </x:c>
      <x:c r="E47" s="16" t="str">
        <x:v>G5</x:v>
      </x:c>
      <x:c r="F47" s="16" t="str">
        <x:v>技术负责人</x:v>
      </x:c>
      <x:c r="G47" s="42"/>
      <x:c r="H47" s="42" t="str">
        <x:v>未开始</x:v>
      </x:c>
      <x:c r="I47" s="31" t="n">
        <x:f>IF(H47="已完成",1,0)</x:f>
        <x:v>0</x:v>
      </x:c>
      <x:c r="J47" s="44"/>
      <x:c r="K47" s="45"/>
      <x:c r="L47" s="45"/>
      <x:c r="M47" s="45"/>
      <x:c r="N47" s="16" t="str">
        <x:v>Q06</x:v>
      </x:c>
      <x:c r="O47" s="42"/>
    </x:row>
  </x:sheetData>
  <x:mergeCells>
    <x:mergeCell ref="A1:O1"/>
    <x:mergeCell ref="A2:O3"/>
  </x:mergeCells>
  <x:conditionalFormatting sqref="H6:H47">
    <x:cfRule type="expression" dxfId="0" priority="1">
      <x:formula>H6="已完成"</x:formula>
    </x:cfRule>
    <x:cfRule type="expression" dxfId="1" priority="2">
      <x:formula>H6="阻塞"</x:formula>
    </x:cfRule>
  </x:conditionalFormatting>
  <x:conditionalFormatting sqref="I6:I47">
    <x:cfRule type="dataBar" priority="3">
      <x:dataBar>
        <x:cfvo type="min"/>
        <x:cfvo type="max"/>
        <x:color rgb="FF397A73"/>
      </x:dataBar>
      <x:extLst>
        <x:ext xmlns:x14="http://schemas.microsoft.com/office/spreadsheetml/2009/9/main" uri="{B025F937-C7B1-47D3-B67F-A62EFF666E3E}">
          <x14:id>{1FC9BF5E-A533-3439-5939-B9DC5627F234}</x14:id>
        </x:ext>
      </x:extLst>
    </x:cfRule>
  </x:conditionalFormatting>
  <x:dataValidations count="2">
    <x:dataValidation type="list" sqref="H6:H47">
      <x:formula1>"未开始,进行中,待联调,待验收,已完成,阻塞"</x:formula1>
    </x:dataValidation>
    <x:dataValidation type="list" sqref="D6:D4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4e0f3818d4f8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FC9BF5E-A533-3439-5939-B9DC5627F234}">
            <x14:dataBar gradient="0">
              <x14:cfvo type="min"/>
              <x14:cfvo type="max"/>
              <x14:fillColor rgb="FF397A73"/>
            </x14:dataBar>
          </x14:cfRule>
          <xm:sqref>I6:I47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40" hidden="0" customWidth="1"/>
    <x:col min="5" max="5" width="32" hidden="0" customWidth="1"/>
    <x:col min="6" max="6" width="40" hidden="0" customWidth="1"/>
    <x:col min="7" max="7" width="32" hidden="0" customWidth="1"/>
    <x:col min="8" max="8" width="32" hidden="0" customWidth="1"/>
  </x:cols>
  <x:sheetData>
    <x:row r="1" ht="34" customHeight="1">
      <x:c r="A1" s="3" t="str">
        <x:v>任务实施与验收定义</x:v>
      </x:c>
      <x:c r="B1" s="3"/>
      <x:c r="C1" s="3"/>
      <x:c r="D1" s="3"/>
      <x:c r="E1" s="3"/>
      <x:c r="F1" s="3"/>
      <x:c r="G1" s="3"/>
      <x:c r="H1" s="3"/>
    </x:row>
    <x:row r="2" ht="22" customHeight="1">
      <x:c r="A2" s="8" t="str">
        <x:v>与“任务跟踪”按编号一一对应。此页作为实施要求，不把供应商参考参数或本方设计建议误当成已验证能力。</x:v>
      </x:c>
      <x:c r="B2" s="8"/>
      <x:c r="C2" s="8"/>
      <x:c r="D2" s="8"/>
      <x:c r="E2" s="8"/>
      <x:c r="F2" s="8"/>
      <x:c r="G2" s="8"/>
      <x:c r="H2" s="8"/>
    </x:row>
    <x:row r="3" ht="22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25" t="str">
        <x:v>编号</x:v>
      </x:c>
      <x:c r="B5" s="25" t="str">
        <x:v>工作包</x:v>
      </x:c>
      <x:c r="C5" s="25" t="str">
        <x:v>任务名称</x:v>
      </x:c>
      <x:c r="D5" s="25" t="str">
        <x:v>实施内容</x:v>
      </x:c>
      <x:c r="E5" s="25" t="str">
        <x:v>交付物</x:v>
      </x:c>
      <x:c r="F5" s="25" t="str">
        <x:v>验收标准</x:v>
      </x:c>
      <x:c r="G5" s="25" t="str">
        <x:v>外部输入/阻断</x:v>
      </x:c>
      <x:c r="H5" s="25" t="str">
        <x:v>依据</x:v>
      </x:c>
    </x:row>
    <x:row r="6" ht="108" customHeight="1">
      <x:c r="A6" s="20" t="str">
        <x:v>B01</x:v>
      </x:c>
      <x:c r="B6" s="20" t="str">
        <x:v>启动与设计</x:v>
      </x:c>
      <x:c r="C6" s="20" t="str">
        <x:v>确认首期范围及责任边界</x:v>
      </x:c>
      <x:c r="D6" s="20" t="str">
        <x:v>确认产品1、2浪潮ODM；产品3共久硬件＋自研设备端；统一平台及MES由本方开发。</x:v>
      </x:c>
      <x:c r="E6" s="20" t="str">
        <x:v>范围清单、责任矩阵、变更记录</x:v>
      </x:c>
      <x:c r="F6" s="20" t="str">
        <x:v>研发、商务及供应商责任可逐项对应；不把产品1、2底层算法列入自研。</x:v>
      </x:c>
      <x:c r="G6" s="20" t="str">
        <x:v>无</x:v>
      </x:c>
      <x:c r="H6" s="20" t="str">
        <x:v>本轮用户明确分工</x:v>
      </x:c>
    </x:row>
    <x:row r="7" ht="108" customHeight="1">
      <x:c r="A7" s="16" t="str">
        <x:v>B02</x:v>
      </x:c>
      <x:c r="B7" s="16" t="str">
        <x:v>启动与设计</x:v>
      </x:c>
      <x:c r="C7" s="16" t="str">
        <x:v>取得浪潮两款设备接口资料</x:v>
      </x:c>
      <x:c r="D7" s="16" t="str">
        <x:v>逐款索取接口、授权、版本、样例数据、图像获取、工单绑定及离线补传说明。</x:v>
      </x:c>
      <x:c r="E7" s="16" t="str">
        <x:v>两份接口能力矩阵、报文样例、缺项清单</x:v>
      </x:c>
      <x:c r="F7" s="16" t="str">
        <x:v>明细/汇总/图像/报警分别标明可用、不可用或待确认；未获得的能力不填已支持。</x:v>
      </x:c>
      <x:c r="G7" s="16" t="str">
        <x:v>浪潮提供协议、样例及联调环境</x:v>
      </x:c>
      <x:c r="H7" s="16" t="str">
        <x:v>[S4]第4页；用户ODM决定</x:v>
      </x:c>
    </x:row>
    <x:row r="8" ht="108" customHeight="1">
      <x:c r="A8" s="20" t="str">
        <x:v>B03</x:v>
      </x:c>
      <x:c r="B8" s="20" t="str">
        <x:v>启动与设计</x:v>
      </x:c>
      <x:c r="C8" s="20" t="str">
        <x:v>取得共久协议并核对实物配置</x:v>
      </x:c>
      <x:c r="D8" s="20" t="str">
        <x:v>核对确切型号、量程、双向读数、寄存器、字节序、倍率、无效码、读取频率、告警输出和配套范围。</x:v>
      </x:c>
      <x:c r="E8" s="20" t="str">
        <x:v>寄存器映射、硬件清单、实物连接记录</x:v>
      </x:c>
      <x:c r="F8" s="20" t="str">
        <x:v>两个方向的数据可独立识别；600次/秒内部扫描不当作上位机读取承诺。</x:v>
      </x:c>
      <x:c r="G8" s="20" t="str">
        <x:v>共久提供完整协议和样机/可访问设备</x:v>
      </x:c>
      <x:c r="H8" s="20" t="str">
        <x:v>[S6]第1页</x:v>
      </x:c>
    </x:row>
    <x:row r="9" ht="108" customHeight="1">
      <x:c r="A9" s="16" t="str">
        <x:v>B04</x:v>
      </x:c>
      <x:c r="B9" s="16" t="str">
        <x:v>启动与设计</x:v>
      </x:c>
      <x:c r="C9" s="16" t="str">
        <x:v>冻结指标定义与判定口径</x:v>
      </x:c>
      <x:c r="D9" s="16" t="str">
        <x:v>确认检测对象、工位、统计窗口、不圆度公式及双向测量边界；确认阈值含等号规则。</x:v>
      </x:c>
      <x:c r="E9" s="16" t="str">
        <x:v>指标字典v1、方法编号、人工复算样本</x:v>
      </x:c>
      <x:c r="F9" s="16" t="str">
        <x:v>不圆度公式与可测能力经负责人确认；10%/3mm/8%仅为待核实初始配方，不写死标准。</x:v>
      </x:c>
      <x:c r="G9" s="16" t="str">
        <x:v>客户/负责人确认工艺口径</x:v>
      </x:c>
      <x:c r="H9" s="16" t="str">
        <x:v>[S1]；[S3]第1页与[S6]第1页存在差异</x:v>
      </x:c>
    </x:row>
    <x:row r="10" ht="108" customHeight="1">
      <x:c r="A10" s="20" t="str">
        <x:v>B05</x:v>
      </x:c>
      <x:c r="B10" s="20" t="str">
        <x:v>启动与设计</x:v>
      </x:c>
      <x:c r="C10" s="20" t="str">
        <x:v>确认工单盘号与MES边界</x:v>
      </x:c>
      <x:c r="D10" s="20" t="str">
        <x:v>确认工单来源、订单/盘号/线芯编码、工序计米关系、MES上送字段、认证及接收确认。</x:v>
      </x:c>
      <x:c r="E10" s="20" t="str">
        <x:v>业务编码映射、MES接口清单、失败处理约定</x:v>
      </x:c>
      <x:c r="F10" s="20" t="str">
        <x:v>允许先人工选工单；不默认MES下发及生产控制；盘号不以显示名称作为唯一键。</x:v>
      </x:c>
      <x:c r="G10" s="20" t="str">
        <x:v>客户提供编码规则、MES接口及联系人</x:v>
      </x:c>
      <x:c r="H10" s="20" t="str">
        <x:v>本轮用户MES输出要求</x:v>
      </x:c>
    </x:row>
    <x:row r="11" ht="108" customHeight="1">
      <x:c r="A11" s="16" t="str">
        <x:v>B06</x:v>
      </x:c>
      <x:c r="B11" s="16" t="str">
        <x:v>启动与设计</x:v>
      </x:c>
      <x:c r="C11" s="16" t="str">
        <x:v>确定架构与数据契约</x:v>
      </x:c>
      <x:c r="D11" s="16" t="str">
        <x:v>沿用团队熟悉技术栈；定义设备端、接入适配层、平台、文件存储和MES出站职责。</x:v>
      </x:c>
      <x:c r="E11" s="16" t="str">
        <x:v>架构说明、数据模型、接口契约v1、部署拓扑</x:v>
      </x:c>
      <x:c r="F11" s="16" t="str">
        <x:v>设备端断网仍可检测；统一契约可容纳多台同类设备和新增指标；明确版本兼容。</x:v>
      </x:c>
      <x:c r="G11" s="16" t="str">
        <x:v>无</x:v>
      </x:c>
      <x:c r="H11" s="16" t="str">
        <x:v>本次研发设计建议</x:v>
      </x:c>
    </x:row>
    <x:row r="12" ht="108" customHeight="1">
      <x:c r="A12" s="20" t="str">
        <x:v>B07</x:v>
      </x:c>
      <x:c r="B12" s="20" t="str">
        <x:v>启动与设计</x:v>
      </x:c>
      <x:c r="C12" s="20" t="str">
        <x:v>完成最小页面原型评审</x:v>
      </x:c>
      <x:c r="D12" s="20" t="str">
        <x:v>完成设备端检测页及平台总览、任务、追溯、指标配置、MES状态页面原型。</x:v>
      </x:c>
      <x:c r="E12" s="20" t="str">
        <x:v>可点击原型、字段说明、评审意见</x:v>
      </x:c>
      <x:c r="F12" s="20" t="str">
        <x:v>每个按钮对应动作和权限；无数据/无效/离线/超限状态可区分。</x:v>
      </x:c>
      <x:c r="G12" s="20" t="str">
        <x:v>无</x:v>
      </x:c>
      <x:c r="H12" s="20" t="str">
        <x:v>本次研发设计建议</x:v>
      </x:c>
    </x:row>
    <x:row r="13" ht="108" customHeight="1">
      <x:c r="A13" s="16" t="str">
        <x:v>F01</x:v>
      </x:c>
      <x:c r="B13" s="16" t="str">
        <x:v>工程基础</x:v>
      </x:c>
      <x:c r="C13" s="16" t="str">
        <x:v>建立仓库与开发运行环境</x:v>
      </x:c>
      <x:c r="D13" s="16" t="str">
        <x:v>建立设备端、平台及接口契约模块；配置检查、单元测试、构建和版本号。</x:v>
      </x:c>
      <x:c r="E13" s="16" t="str">
        <x:v>代码仓库、启动脚本、开发说明</x:v>
      </x:c>
      <x:c r="F13" s="16" t="str">
        <x:v>新开发机按说明可运行模拟环境；密钥和生产数据不进仓库。</x:v>
      </x:c>
      <x:c r="G13" s="16" t="str">
        <x:v>无</x:v>
      </x:c>
      <x:c r="H13" s="16" t="str">
        <x:v>本次研发设计建议</x:v>
      </x:c>
    </x:row>
    <x:row r="14" ht="108" customHeight="1">
      <x:c r="A14" s="20" t="str">
        <x:v>F02</x:v>
      </x:c>
      <x:c r="B14" s="20" t="str">
        <x:v>工程基础</x:v>
      </x:c>
      <x:c r="C14" s="20" t="str">
        <x:v>实现模拟设备与报文回放</x:v>
      </x:c>
      <x:c r="D14" s="20" t="str">
        <x:v>提供三类设备正常/异常/缺测/断线/乱序/重复数据场景；区分模拟和生产环境。</x:v>
      </x:c>
      <x:c r="E14" s="20" t="str">
        <x:v>模拟器、固定测试数据、回放脚本</x:v>
      </x:c>
      <x:c r="F14" s="20" t="str">
        <x:v>SIMULATED数据不能进入正式质量报告；相同样本回放结果可复现。</x:v>
      </x:c>
      <x:c r="G14" s="20" t="str">
        <x:v>无</x:v>
      </x:c>
      <x:c r="H14" s="20" t="str">
        <x:v>本次研发设计建议</x:v>
      </x:c>
    </x:row>
    <x:row r="15" ht="108" customHeight="1">
      <x:c r="A15" s="16" t="str">
        <x:v>F03</x:v>
      </x:c>
      <x:c r="B15" s="16" t="str">
        <x:v>工程基础</x:v>
      </x:c>
      <x:c r="C15" s="16" t="str">
        <x:v>建立数据库与基础权限</x:v>
      </x:c>
      <x:c r="D15" s="16" t="str">
        <x:v>落地工厂、产线、工序、设备、指标、配方版本、检测任务及用户角色；编写迁移脚本。</x:v>
      </x:c>
      <x:c r="E15" s="16" t="str">
        <x:v>数据表、迁移脚本、角色权限测试</x:v>
      </x:c>
      <x:c r="F15" s="16" t="str">
        <x:v>设备与指标不一一写死；角色隔离有效；编码冲突被拒绝。</x:v>
      </x:c>
      <x:c r="G15" s="16" t="str">
        <x:v>无</x:v>
      </x:c>
      <x:c r="H15" s="16" t="str">
        <x:v>本次研发设计建议</x:v>
      </x:c>
    </x:row>
    <x:row r="16" ht="108" customHeight="1">
      <x:c r="A16" s="20" t="str">
        <x:v>E01</x:v>
      </x:c>
      <x:c r="B16" s="20" t="str">
        <x:v>产品3设备端</x:v>
      </x:c>
      <x:c r="C16" s="20" t="str">
        <x:v>实现共久数据采集驱动</x:v>
      </x:c>
      <x:c r="D16" s="20" t="str">
        <x:v>实现本次实际供货协议的只读采集、超时、重试和寄存器解析；未经批准不写控制寄存器。</x:v>
      </x:c>
      <x:c r="E16" s="20" t="str">
        <x:v>采集服务、驱动配置、协议单测</x:v>
      </x:c>
      <x:c r="F16" s="20" t="str">
        <x:v>已确认测试向量全通过；真实读数与仪表显示在约定刷新和精度口径下核对一致。</x:v>
      </x:c>
      <x:c r="G16" s="20" t="str">
        <x:v>共久协议和实物设备</x:v>
      </x:c>
      <x:c r="H16" s="20" t="str">
        <x:v>[S6]第1页</x:v>
      </x:c>
    </x:row>
    <x:row r="17" ht="108" customHeight="1">
      <x:c r="A17" s="16" t="str">
        <x:v>E02</x:v>
      </x:c>
      <x:c r="B17" s="16" t="str">
        <x:v>产品3设备端</x:v>
      </x:c>
      <x:c r="C17" s="16" t="str">
        <x:v>实现数据有效性及时间处理</x:v>
      </x:c>
      <x:c r="D17" s="16" t="str">
        <x:v>识别断线、无产品、超量程、无效码、陈旧值、时间异常；保留采样和接收时间。</x:v>
      </x:c>
      <x:c r="E17" s="16" t="str">
        <x:v>数据状态机、错误码、测试记录</x:v>
      </x:c>
      <x:c r="F17" s="16" t="str">
        <x:v>无效读数不当0、不判合格；不得用上一笔正常值伪装当前实时值。</x:v>
      </x:c>
      <x:c r="G17" s="16" t="str">
        <x:v>无</x:v>
      </x:c>
      <x:c r="H17" s="16" t="str">
        <x:v>本次研发设计建议</x:v>
      </x:c>
    </x:row>
    <x:row r="18" ht="108" customHeight="1">
      <x:c r="A18" s="20" t="str">
        <x:v>E03</x:v>
      </x:c>
      <x:c r="B18" s="20" t="str">
        <x:v>产品3设备端</x:v>
      </x:c>
      <x:c r="C18" s="20" t="str">
        <x:v>实现测量计算与版本化判定</x:v>
      </x:c>
      <x:c r="D18" s="20" t="str">
        <x:v>实现获确认的不圆度计算方法；保存方向原始值、计算方法、配方快照及判定。</x:v>
      </x:c>
      <x:c r="E18" s="20" t="str">
        <x:v>计算模块、黄金样本、边界单测</x:v>
      </x:c>
      <x:c r="F18" s="20" t="str">
        <x:v>公式未批准时禁止正式不圆度结论；等阈值、分母0、空值和舍入边界有用例。</x:v>
      </x:c>
      <x:c r="G18" s="20" t="str">
        <x:v>无</x:v>
      </x:c>
      <x:c r="H18" s="20" t="str">
        <x:v>本次研发设计建议</x:v>
      </x:c>
    </x:row>
    <x:row r="19" ht="108" customHeight="1">
      <x:c r="A19" s="16" t="str">
        <x:v>E04</x:v>
      </x:c>
      <x:c r="B19" s="16" t="str">
        <x:v>产品3设备端</x:v>
      </x:c>
      <x:c r="C19" s="16" t="str">
        <x:v>实现现场检测主界面</x:v>
      </x:c>
      <x:c r="D19" s="16" t="str">
        <x:v>实现连接状态、工单/盘号选择、实时外径与不圆度、趋势、阈值线、报警、历史入口。</x:v>
      </x:c>
      <x:c r="E19" s="16" t="str">
        <x:v>设备端检测页、状态页面</x:v>
      </x:c>
      <x:c r="F19" s="16" t="str">
        <x:v>界面显示当前任务、数据时间、测量方法及无效原因；设备端不依赖平台在线。</x:v>
      </x:c>
      <x:c r="G19" s="16" t="str">
        <x:v>无</x:v>
      </x:c>
      <x:c r="H19" s="16" t="str">
        <x:v>[S3]第1—2页软件要求，按现方案裁剪</x:v>
      </x:c>
    </x:row>
    <x:row r="20" ht="108" customHeight="1">
      <x:c r="A20" s="20" t="str">
        <x:v>E05</x:v>
      </x:c>
      <x:c r="B20" s="20" t="str">
        <x:v>产品3设备端</x:v>
      </x:c>
      <x:c r="C20" s="20" t="str">
        <x:v>实现任务与计米关联</x:v>
      </x:c>
      <x:c r="D20" s="20" t="str">
        <x:v>绑定任务/盘号/线芯；接入已确认计米来源，处理复位、倒退和换盘；无计米则标记未知。</x:v>
      </x:c>
      <x:c r="E20" s="20" t="str">
        <x:v>任务状态、计米适配、位置质量标志</x:v>
      </x:c>
      <x:c r="F20" s="20" t="str">
        <x:v>换盘不串盘；缺失位置不伪造0米；未验证跨工序长度映射不硬拼同一坐标。</x:v>
      </x:c>
      <x:c r="G20" s="20" t="str">
        <x:v>计米接口/设备及产线规则</x:v>
      </x:c>
      <x:c r="H20" s="20" t="str">
        <x:v>[S3]第2页计米要求</x:v>
      </x:c>
    </x:row>
    <x:row r="21" ht="108" customHeight="1">
      <x:c r="A21" s="16" t="str">
        <x:v>E06</x:v>
      </x:c>
      <x:c r="B21" s="16" t="str">
        <x:v>产品3设备端</x:v>
      </x:c>
      <x:c r="C21" s="16" t="str">
        <x:v>实现现场报警与确认</x:v>
      </x:c>
      <x:c r="D21" s="16" t="str">
        <x:v>实现超限与设备故障分级、报警确认、恢复及输出；防抖参数可配置且保留原始超限。</x:v>
      </x:c>
      <x:c r="E21" s="16" t="str">
        <x:v>报警状态机、声光接口、事件记录</x:v>
      </x:c>
      <x:c r="F21" s="16" t="str">
        <x:v>平台断网仍报警；确认不等于质量合格；软件和实际声光输出分别联调。</x:v>
      </x:c>
      <x:c r="G21" s="16" t="str">
        <x:v>报警器及控制接口确认</x:v>
      </x:c>
      <x:c r="H21" s="16" t="str">
        <x:v>[S1]；[S3]第2—3页</x:v>
      </x:c>
    </x:row>
    <x:row r="22" ht="108" customHeight="1">
      <x:c r="A22" s="20" t="str">
        <x:v>E07</x:v>
      </x:c>
      <x:c r="B22" s="20" t="str">
        <x:v>产品3设备端</x:v>
      </x:c>
      <x:c r="C22" s="20" t="str">
        <x:v>实现本地持久化及可靠上传</x:v>
      </x:c>
      <x:c r="D22" s="20" t="str">
        <x:v>本地先落盘，再写待上传队列；断点续传、重试、重启恢复；监测磁盘容量。</x:v>
      </x:c>
      <x:c r="E22" s="20" t="str">
        <x:v>本地存储、出站队列、补传测试</x:v>
      </x:c>
      <x:c r="F22" s="20" t="str">
        <x:v>平台断开后记录不丢；恢复补传后平台不重复；磁盘满触发显著故障，禁止静默丢数据。</x:v>
      </x:c>
      <x:c r="G22" s="20" t="str">
        <x:v>无</x:v>
      </x:c>
      <x:c r="H22" s="20" t="str">
        <x:v>本次研发设计建议</x:v>
      </x:c>
    </x:row>
    <x:row r="23" ht="108" customHeight="1">
      <x:c r="A23" s="16" t="str">
        <x:v>E08</x:v>
      </x:c>
      <x:c r="B23" s="16" t="str">
        <x:v>产品3设备端</x:v>
      </x:c>
      <x:c r="C23" s="16" t="str">
        <x:v>实现启动守护与诊断打包</x:v>
      </x:c>
      <x:c r="D23" s="16" t="str">
        <x:v>实现开机运行、异常恢复、配置备份、版本展示、日志导出和设备校准记录入口。</x:v>
      </x:c>
      <x:c r="E23" s="16" t="str">
        <x:v>安装包、诊断包、恢复说明</x:v>
      </x:c>
      <x:c r="F23" s="16" t="str">
        <x:v>重启后待上传数据与任务可恢复；不静默继续错误盘号；普通用户不能改通信和规则。</x:v>
      </x:c>
      <x:c r="G23" s="16" t="str">
        <x:v>无</x:v>
      </x:c>
      <x:c r="H23" s="16" t="str">
        <x:v>[S3]第2—3页</x:v>
      </x:c>
    </x:row>
    <x:row r="24" ht="108" customHeight="1">
      <x:c r="A24" s="20" t="str">
        <x:v>O01</x:v>
      </x:c>
      <x:c r="B24" s="20" t="str">
        <x:v>浪潮ODM接入</x:v>
      </x:c>
      <x:c r="C24" s="20" t="str">
        <x:v>实现产品1搭盖率接入适配</x:v>
      </x:c>
      <x:c r="D24" s="20" t="str">
        <x:v>映射搭盖率、统计窗口、报警、图像及生产身份；只接收实际开放字段。</x:v>
      </x:c>
      <x:c r="E24" s="20" t="str">
        <x:v>产品1适配器、字段映射、回放样本</x:v>
      </x:c>
      <x:c r="F24" s="20" t="str">
        <x:v>可用字段与能力矩阵一致；汇总值不伪装实时明细；原始供应商字段可追溯。</x:v>
      </x:c>
      <x:c r="G24" s="20" t="str">
        <x:v>浪潮产品1测试接口</x:v>
      </x:c>
      <x:c r="H24" s="20" t="str">
        <x:v>[S4]第4页</x:v>
      </x:c>
    </x:row>
    <x:row r="25" ht="108" customHeight="1">
      <x:c r="A25" s="16" t="str">
        <x:v>O02</x:v>
      </x:c>
      <x:c r="B25" s="16" t="str">
        <x:v>浪潮ODM接入</x:v>
      </x:c>
      <x:c r="C25" s="16" t="str">
        <x:v>实现产品2铜丝间隙接入适配</x:v>
      </x:c>
      <x:c r="D25" s="16" t="str">
        <x:v>接入铜丝屏蔽间隙及约定统计范围，绑定图像、报警和盘号；确认不是笼绞指标误替。</x:v>
      </x:c>
      <x:c r="E25" s="16" t="str">
        <x:v>产品2适配器、统计口径、回放样本</x:v>
      </x:c>
      <x:c r="F25" s="16" t="str">
        <x:v>样品及字段证明检测对象是铜丝屏蔽；平均间隙与局部最大值分列。</x:v>
      </x:c>
      <x:c r="G25" s="16" t="str">
        <x:v>浪潮产品2实际样品与接口</x:v>
      </x:c>
      <x:c r="H25" s="16" t="str">
        <x:v>[S5]仅笼绞参考，不作本产品验收证明</x:v>
      </x:c>
    </x:row>
    <x:row r="26" ht="108" customHeight="1">
      <x:c r="A26" s="20" t="str">
        <x:v>O03</x:v>
      </x:c>
      <x:c r="B26" s="20" t="str">
        <x:v>浪潮ODM接入</x:v>
      </x:c>
      <x:c r="C26" s="20" t="str">
        <x:v>完成两款真机数据与证据联调</x:v>
      </x:c>
      <x:c r="D26" s="20" t="str">
        <x:v>联调历史拉取或补传、图片访问权限、设备身份、数据延迟及版本变化。</x:v>
      </x:c>
      <x:c r="E26" s="20" t="str">
        <x:v>联调报告、证据样本、问题闭环</x:v>
      </x:c>
      <x:c r="F26" s="20" t="str">
        <x:v>三款设备可在同一工单/盘号体系查询；ODM图像可持久访问；缺项明确留痕。</x:v>
      </x:c>
      <x:c r="G26" s="20" t="str">
        <x:v>浪潮真机、网络和软件授权</x:v>
      </x:c>
      <x:c r="H26" s="20" t="str">
        <x:v>用户ODM方案；[S4]第4页</x:v>
      </x:c>
    </x:row>
    <x:row r="27" ht="108" customHeight="1">
      <x:c r="A27" s="16" t="str">
        <x:v>P01</x:v>
      </x:c>
      <x:c r="B27" s="16" t="str">
        <x:v>统一平台</x:v>
      </x:c>
      <x:c r="C27" s="16" t="str">
        <x:v>实现基础档案及检测任务管理</x:v>
      </x:c>
      <x:c r="D27" s="16" t="str">
        <x:v>维护设备、产品规格、工序、工单、盘号、线芯；创建/开始/暂停/结束检测任务。</x:v>
      </x:c>
      <x:c r="E27" s="16" t="str">
        <x:v>档案和任务页面/API</x:v>
      </x:c>
      <x:c r="F27" s="16" t="str">
        <x:v>同类设备可多台接入；任务结束需显示缺测及异常，不能默认整盘合格。</x:v>
      </x:c>
      <x:c r="G27" s="16" t="str">
        <x:v>无</x:v>
      </x:c>
      <x:c r="H27" s="16" t="str">
        <x:v>本次研发设计建议</x:v>
      </x:c>
    </x:row>
    <x:row r="28" ht="108" customHeight="1">
      <x:c r="A28" s="20" t="str">
        <x:v>P02</x:v>
      </x:c>
      <x:c r="B28" s="20" t="str">
        <x:v>统一平台</x:v>
      </x:c>
      <x:c r="C28" s="20" t="str">
        <x:v>实现可扩展指标与配方管理</x:v>
      </x:c>
      <x:c r="D28" s="20" t="str">
        <x:v>支持新增数值指标、单位、数据来源、适用工序、比较规则、统计窗口和配方审批版本。</x:v>
      </x:c>
      <x:c r="E28" s="20" t="str">
        <x:v>指标配置页、规则服务、配方版本</x:v>
      </x:c>
      <x:c r="F28" s="20" t="str">
        <x:v>新增测试指标不改数据库字段、不改公共查询和报告主代码；旧记录保留旧规则。</x:v>
      </x:c>
      <x:c r="G28" s="20" t="str">
        <x:v>无</x:v>
      </x:c>
      <x:c r="H28" s="20" t="str">
        <x:v>本次研发设计建议</x:v>
      </x:c>
    </x:row>
    <x:row r="29" ht="108" customHeight="1">
      <x:c r="A29" s="16" t="str">
        <x:v>P03</x:v>
      </x:c>
      <x:c r="B29" s="16" t="str">
        <x:v>统一平台</x:v>
      </x:c>
      <x:c r="C29" s="16" t="str">
        <x:v>实现统一数据接收与幂等处理</x:v>
      </x:c>
      <x:c r="D29" s="16" t="str">
        <x:v>校验契约、单位、来源和版本；按稳定记录键去重，隔离非法记录，保留原始报文摘要。</x:v>
      </x:c>
      <x:c r="E29" s="16" t="str">
        <x:v>接收API、校验器、去重索引、错误队列</x:v>
      </x:c>
      <x:c r="F29" s="16" t="str">
        <x:v>重复同一record_id不新增；不同合法采样不被误去重；无效报文可定位来源。</x:v>
      </x:c>
      <x:c r="G29" s="16" t="str">
        <x:v>无</x:v>
      </x:c>
      <x:c r="H29" s="16" t="str">
        <x:v>本次研发设计建议</x:v>
      </x:c>
    </x:row>
    <x:row r="30" ht="108" customHeight="1">
      <x:c r="A30" s="20" t="str">
        <x:v>P04</x:v>
      </x:c>
      <x:c r="B30" s="20" t="str">
        <x:v>统一平台</x:v>
      </x:c>
      <x:c r="C30" s="20" t="str">
        <x:v>实现总览与三类实时专题页</x:v>
      </x:c>
      <x:c r="D30" s="20" t="str">
        <x:v>展示设备在线/陈旧状态、当前任务、有效检测覆盖、三项指标及趋势；无数据显式提示。</x:v>
      </x:c>
      <x:c r="E30" s="20" t="str">
        <x:v>总览、搭盖率/间隙/不圆度专题页</x:v>
      </x:c>
      <x:c r="F30" s="20" t="str">
        <x:v>可切换多台同类设备；时间、单位、来源和统计范围一致；无数据不画为0。</x:v>
      </x:c>
      <x:c r="G30" s="20" t="str">
        <x:v>无</x:v>
      </x:c>
      <x:c r="H30" s="20" t="str">
        <x:v>本次研发设计建议</x:v>
      </x:c>
    </x:row>
    <x:row r="31" ht="108" customHeight="1">
      <x:c r="A31" s="16" t="str">
        <x:v>P05</x:v>
      </x:c>
      <x:c r="B31" s="16" t="str">
        <x:v>统一平台</x:v>
      </x:c>
      <x:c r="C31" s="16" t="str">
        <x:v>实现盘号追溯与证据查看</x:v>
      </x:c>
      <x:c r="D31" s="16" t="str">
        <x:v>按工单、盘号、线芯、工序、时间、米数查询测量及异常，关联图像/波形和处理记录。</x:v>
      </x:c>
      <x:c r="E31" s="16" t="str">
        <x:v>追溯页面、证据存储策略</x:v>
      </x:c>
      <x:c r="F31" s="16" t="str">
        <x:v>抽查一条结果可返回原始值、方法/配方版本和来源；无相机产品不伪造图片。</x:v>
      </x:c>
      <x:c r="G31" s="16" t="str">
        <x:v>无</x:v>
      </x:c>
      <x:c r="H31" s="16" t="str">
        <x:v>本次研发设计建议</x:v>
      </x:c>
    </x:row>
    <x:row r="32" ht="108" customHeight="1">
      <x:c r="A32" s="20" t="str">
        <x:v>P06</x:v>
      </x:c>
      <x:c r="B32" s="20" t="str">
        <x:v>统一平台</x:v>
      </x:c>
      <x:c r="C32" s="20" t="str">
        <x:v>实现异常处理闭环</x:v>
      </x:c>
      <x:c r="D32" s="20" t="str">
        <x:v>实现待确认、处理中、已处理、复核等状态；记录责任、意见、时间和附件。</x:v>
      </x:c>
      <x:c r="E32" s="20" t="str">
        <x:v>异常页面、操作审计</x:v>
      </x:c>
      <x:c r="F32" s="20" t="str">
        <x:v>修改处理意见不覆盖原始异常；报警确认与质量处置状态分离。</x:v>
      </x:c>
      <x:c r="G32" s="20" t="str">
        <x:v>无</x:v>
      </x:c>
      <x:c r="H32" s="20" t="str">
        <x:v>本次研发设计建议</x:v>
      </x:c>
    </x:row>
    <x:row r="33" ht="108" customHeight="1">
      <x:c r="A33" s="16" t="str">
        <x:v>P07</x:v>
      </x:c>
      <x:c r="B33" s="16" t="str">
        <x:v>统一平台</x:v>
      </x:c>
      <x:c r="C33" s="16" t="str">
        <x:v>实现通用文件导入和人工录入</x:v>
      </x:c>
      <x:c r="D33" s="16" t="str">
        <x:v>提供模板、预校验、重复提示、错误行反馈、复核、撤销/更正留痕；先覆盖D/E示例。</x:v>
      </x:c>
      <x:c r="E33" s="16" t="str">
        <x:v>导入模板、录入页、数据来源标记</x:v>
      </x:c>
      <x:c r="F33" s="16" t="str">
        <x:v>偏心度导入及护套比例计算可演示；标称厚度≤0不计算；来源链与人工复核可追溯。</x:v>
      </x:c>
      <x:c r="G33" s="16" t="str">
        <x:v>无</x:v>
      </x:c>
      <x:c r="H33" s="16" t="str">
        <x:v>[S1]完整需求的D、E项</x:v>
      </x:c>
    </x:row>
    <x:row r="34" ht="108" customHeight="1">
      <x:c r="A34" s="20" t="str">
        <x:v>P08</x:v>
      </x:c>
      <x:c r="B34" s="20" t="str">
        <x:v>统一平台</x:v>
      </x:c>
      <x:c r="C34" s="20" t="str">
        <x:v>实现每盘质量报告及表格导出</x:v>
      </x:c>
      <x:c r="D34" s="20" t="str">
        <x:v>按指标/盘号输出检测范围、有效样本、缺测、极值/均值、异常和证据；区分过程报告和第三方报告。</x:v>
      </x:c>
      <x:c r="E34" s="20" t="str">
        <x:v>报告模板、PDF/表格导出、报告版本</x:v>
      </x:c>
      <x:c r="F34" s="20" t="str">
        <x:v>分母和统计窗口可解释；模拟记录不进入正式报告；未检测指标不显示合格。</x:v>
      </x:c>
      <x:c r="G34" s="20" t="str">
        <x:v>无</x:v>
      </x:c>
      <x:c r="H34" s="20" t="str">
        <x:v>本次研发设计建议</x:v>
      </x:c>
    </x:row>
    <x:row r="35" ht="108" customHeight="1">
      <x:c r="A35" s="16" t="str">
        <x:v>P09</x:v>
      </x:c>
      <x:c r="B35" s="16" t="str">
        <x:v>统一平台</x:v>
      </x:c>
      <x:c r="C35" s="16" t="str">
        <x:v>完善权限审计、存储与备份</x:v>
      </x:c>
      <x:c r="D35" s="16" t="str">
        <x:v>角色权限、参数变更审计、文件访问控制、保留策略、容量告警、备份恢复。</x:v>
      </x:c>
      <x:c r="E35" s="16" t="str">
        <x:v>权限矩阵、审计页、备份任务、恢复报告</x:v>
      </x:c>
      <x:c r="F35" s="16" t="str">
        <x:v>普通用户无法改已批准配方；恢复后结果与附件可关联；不承诺无容量前提的永久保存。</x:v>
      </x:c>
      <x:c r="G35" s="16" t="str">
        <x:v>无</x:v>
      </x:c>
      <x:c r="H35" s="16" t="str">
        <x:v>[S3]第3页存储要求需单独确认容量</x:v>
      </x:c>
    </x:row>
    <x:row r="36" ht="108" customHeight="1">
      <x:c r="A36" s="20" t="str">
        <x:v>P10</x:v>
      </x:c>
      <x:c r="B36" s="20" t="str">
        <x:v>统一平台</x:v>
      </x:c>
      <x:c r="C36" s="20" t="str">
        <x:v>扩展质量分析与定制报表</x:v>
      </x:c>
      <x:c r="D36" s="20" t="str">
        <x:v>根据试点反馈增加规格/班次对比、异常分布、报告模板配置；统计口径受控。</x:v>
      </x:c>
      <x:c r="E36" s="20" t="str">
        <x:v>分析页、报表配置</x:v>
      </x:c>
      <x:c r="F36" s="20" t="str">
        <x:v>仅对可比口径数据计算；缺测不纳入合格样本；不新增未经验证的检测能力。</x:v>
      </x:c>
      <x:c r="G36" s="20" t="str">
        <x:v>无</x:v>
      </x:c>
      <x:c r="H36" s="20" t="str">
        <x:v>本次研发设计建议</x:v>
      </x:c>
    </x:row>
    <x:row r="37" ht="108" customHeight="1">
      <x:c r="A37" s="16" t="str">
        <x:v>M01</x:v>
      </x:c>
      <x:c r="B37" s="16" t="str">
        <x:v>MES对接</x:v>
      </x:c>
      <x:c r="C37" s="16" t="str">
        <x:v>实现标准出站数据和映射配置</x:v>
      </x:c>
      <x:c r="D37" s="16" t="str">
        <x:v>定义检测、异常、每盘汇总消息；完成客户字段/枚举/单位映射和接口版本。</x:v>
      </x:c>
      <x:c r="E37" s="16" t="str">
        <x:v>接口文档、样例、映射配置</x:v>
      </x:c>
      <x:c r="F37" s="16" t="str">
        <x:v>包含record_id、工单盘号、指标、值、单位、时间、来源和判定依据；可扩展新指标。</x:v>
      </x:c>
      <x:c r="G37" s="16" t="str">
        <x:v>无</x:v>
      </x:c>
      <x:c r="H37" s="16" t="str">
        <x:v>本次研发设计建议</x:v>
      </x:c>
    </x:row>
    <x:row r="38" ht="108" customHeight="1">
      <x:c r="A38" s="20" t="str">
        <x:v>M02</x:v>
      </x:c>
      <x:c r="B38" s="20" t="str">
        <x:v>MES对接</x:v>
      </x:c>
      <x:c r="C38" s="20" t="str">
        <x:v>实现发送、确认、重试和对账</x:v>
      </x:c>
      <x:c r="D38" s="20" t="str">
        <x:v>独立出站队列；区分传输成功和业务接受；实现退避重试、拒绝原因和人工重发。</x:v>
      </x:c>
      <x:c r="E38" s="20" t="str">
        <x:v>MES任务队列、对账页、模拟接收端</x:v>
      </x:c>
      <x:c r="F38" s="20" t="str">
        <x:v>重复发送依靠稳定业务键和接收方幂等确认避免重复入账；无确认不得显示已接收。</x:v>
      </x:c>
      <x:c r="G38" s="20" t="str">
        <x:v>无</x:v>
      </x:c>
      <x:c r="H38" s="20" t="str">
        <x:v>本次研发设计建议</x:v>
      </x:c>
    </x:row>
    <x:row r="39" ht="108" customHeight="1">
      <x:c r="A39" s="16" t="str">
        <x:v>M03</x:v>
      </x:c>
      <x:c r="B39" s="16" t="str">
        <x:v>MES对接</x:v>
      </x:c>
      <x:c r="C39" s="16" t="str">
        <x:v>完成客户MES端到端联调</x:v>
      </x:c>
      <x:c r="D39" s="16" t="str">
        <x:v>验证三款设备结果、异常和整盘汇总在实际MES查询一致；测试中断补传和字段错误。</x:v>
      </x:c>
      <x:c r="E39" s="16" t="str">
        <x:v>双方联调记录、数据对账表</x:v>
      </x:c>
      <x:c r="F39" s="16" t="str">
        <x:v>本方发送总数、接收确认和MES记录按record_id核对；不可拿模拟联调替代实测。</x:v>
      </x:c>
      <x:c r="G39" s="16" t="str">
        <x:v>客户MES测试环境与接收端支持</x:v>
      </x:c>
      <x:c r="H39" s="16" t="str">
        <x:v>用户MES输出要求</x:v>
      </x:c>
    </x:row>
    <x:row r="40" ht="108" customHeight="1">
      <x:c r="A40" s="20" t="str">
        <x:v>Q01</x:v>
      </x:c>
      <x:c r="B40" s="20" t="str">
        <x:v>测试与交付</x:v>
      </x:c>
      <x:c r="C40" s="20" t="str">
        <x:v>执行计算、规则与权限自动测试</x:v>
      </x:c>
      <x:c r="D40" s="20" t="str">
        <x:v>覆盖阈值边界、无效值、统计窗口、单位、版本、幂等与越权；维护回归集。</x:v>
      </x:c>
      <x:c r="E40" s="20" t="str">
        <x:v>测试代码、测试报告</x:v>
      </x:c>
      <x:c r="F40" s="20" t="str">
        <x:v>关键计算和接收校验用例全部通过；失败阻断合并或发布。</x:v>
      </x:c>
      <x:c r="G40" s="20" t="str">
        <x:v>无</x:v>
      </x:c>
      <x:c r="H40" s="20" t="str">
        <x:v>本次研发设计建议</x:v>
      </x:c>
    </x:row>
    <x:row r="41" ht="108" customHeight="1">
      <x:c r="A41" s="16" t="str">
        <x:v>Q02</x:v>
      </x:c>
      <x:c r="B41" s="16" t="str">
        <x:v>测试与交付</x:v>
      </x:c>
      <x:c r="C41" s="16" t="str">
        <x:v>执行断线、重启及数据恢复测试</x:v>
      </x:c>
      <x:c r="D41" s="16" t="str">
        <x:v>模拟断网、断电/进程崩溃、重复/乱序、磁盘满、MES拒绝和备份恢复。</x:v>
      </x:c>
      <x:c r="E41" s="16" t="str">
        <x:v>故障注入脚本、恢复对账记录</x:v>
      </x:c>
      <x:c r="F41" s="16" t="str">
        <x:v>可证明已落盘数据的恢复与去重；不可恢复区间显式缺测，禁止静默补零。</x:v>
      </x:c>
      <x:c r="G41" s="16" t="str">
        <x:v>无</x:v>
      </x:c>
      <x:c r="H41" s="16" t="str">
        <x:v>本次研发设计建议</x:v>
      </x:c>
    </x:row>
    <x:row r="42" ht="108" customHeight="1">
      <x:c r="A42" s="20" t="str">
        <x:v>Q03</x:v>
      </x:c>
      <x:c r="B42" s="20" t="str">
        <x:v>测试与交付</x:v>
      </x:c>
      <x:c r="C42" s="20" t="str">
        <x:v>执行真机精度与场景验证</x:v>
      </x:c>
      <x:c r="D42" s="20" t="str">
        <x:v>按确认方法用样品和对照测量验证范围、偏差、姿态、速度及异常检出；留存原始证据。</x:v>
      </x:c>
      <x:c r="E42" s="20" t="str">
        <x:v>样品清单、对照记录、验证结论</x:v>
      </x:c>
      <x:c r="F42" s="20" t="str">
        <x:v>软件功能与硬件测量能力分开验收；共久双向与参考360°差异有签字结论。</x:v>
      </x:c>
      <x:c r="G42" s="20" t="str">
        <x:v>标准样品、对照仪器、现场条件</x:v>
      </x:c>
      <x:c r="H42" s="20" t="str">
        <x:v>[S3]第1页；[S6]第1页</x:v>
      </x:c>
    </x:row>
    <x:row r="43" ht="108" customHeight="1">
      <x:c r="A43" s="16" t="str">
        <x:v>Q04</x:v>
      </x:c>
      <x:c r="B43" s="16" t="str">
        <x:v>测试与交付</x:v>
      </x:c>
      <x:c r="C43" s="16" t="str">
        <x:v>执行持续运行与容量验证</x:v>
      </x:c>
      <x:c r="D43" s="16" t="str">
        <x:v>按实测读取频率和设备数持续运行；至少完成24小时内部稳定性测试，记录延迟、积压和资源。</x:v>
      </x:c>
      <x:c r="E43" s="16" t="str">
        <x:v>运行报告、容量测算、性能基线</x:v>
      </x:c>
      <x:c r="F43" s="16" t="str">
        <x:v>24小时为内部建议测试项；实测负载、丢失/缺测、队列及磁盘增长均有证据。</x:v>
      </x:c>
      <x:c r="G43" s="16" t="str">
        <x:v>无</x:v>
      </x:c>
      <x:c r="H43" s="16" t="str">
        <x:v>[S3]第1页持续运行要求；负载为待确认设计值</x:v>
      </x:c>
    </x:row>
    <x:row r="44" ht="108" customHeight="1">
      <x:c r="A44" s="20" t="str">
        <x:v>Q05</x:v>
      </x:c>
      <x:c r="B44" s="20" t="str">
        <x:v>测试与交付</x:v>
      </x:c>
      <x:c r="C44" s="20" t="str">
        <x:v>形成安装、升级及回滚包</x:v>
      </x:c>
      <x:c r="D44" s="20" t="str">
        <x:v>形成离线部署包、数据库迁移、版本锁定、配置模板、升级回滚及用户手册。</x:v>
      </x:c>
      <x:c r="E44" s="20" t="str">
        <x:v>发布包、部署/运维/用户手册</x:v>
      </x:c>
      <x:c r="F44" s="20" t="str">
        <x:v>按文档可从空环境安装；升级失败能回滚且数据可读；不含生产密钥。</x:v>
      </x:c>
      <x:c r="G44" s="20" t="str">
        <x:v>无</x:v>
      </x:c>
      <x:c r="H44" s="20" t="str">
        <x:v>本次研发设计建议</x:v>
      </x:c>
    </x:row>
    <x:row r="45" ht="108" customHeight="1">
      <x:c r="A45" s="16" t="str">
        <x:v>Q06</x:v>
      </x:c>
      <x:c r="B45" s="16" t="str">
        <x:v>测试与交付</x:v>
      </x:c>
      <x:c r="C45" s="16" t="str">
        <x:v>完成试点验收与问题关闭</x:v>
      </x:c>
      <x:c r="D45" s="16" t="str">
        <x:v>逐项演示三设备接入、自研设备端、扩展指标、追溯报告及实际MES对账；记录遗留项。</x:v>
      </x:c>
      <x:c r="E45" s="16" t="str">
        <x:v>验收记录、问题闭环清单、版本归档</x:v>
      </x:c>
      <x:c r="F45" s="16" t="str">
        <x:v>P0任务及对应验收通过；未通过测量/接口项不得宣称正式交付。</x:v>
      </x:c>
      <x:c r="G45" s="16" t="str">
        <x:v>无</x:v>
      </x:c>
      <x:c r="H45" s="16" t="str">
        <x:v>本次研发设计建议</x:v>
      </x:c>
    </x:row>
    <x:row r="46" ht="108" customHeight="1">
      <x:c r="A46" s="20" t="str">
        <x:v>X01</x:v>
      </x:c>
      <x:c r="B46" s="20" t="str">
        <x:v>后续扩展</x:v>
      </x:c>
      <x:c r="C46" s="20" t="str">
        <x:v>接入新的第三方检测设备</x:v>
      </x:c>
      <x:c r="D46" s="20" t="str">
        <x:v>按客户新增设备协议开发适配器，复用指标、查询、报表、MES机制。</x:v>
      </x:c>
      <x:c r="E46" s="20" t="str">
        <x:v>新增适配器、映射及测试</x:v>
      </x:c>
      <x:c r="F46" s="20" t="str">
        <x:v>按新项目单独确认范围；不将新通信协议适配理解为零开发。</x:v>
      </x:c>
      <x:c r="G46" s="20" t="str">
        <x:v>无</x:v>
      </x:c>
      <x:c r="H46" s="20" t="str">
        <x:v>本次研发设计建议</x:v>
      </x:c>
    </x:row>
    <x:row r="47" ht="108" customHeight="1">
      <x:c r="A47" s="16" t="str">
        <x:v>X02</x:v>
      </x:c>
      <x:c r="B47" s="16" t="str">
        <x:v>后续扩展</x:v>
      </x:c>
      <x:c r="C47" s="16" t="str">
        <x:v>新增视觉识别或特殊测量能力</x:v>
      </x:c>
      <x:c r="D47" s="16" t="str">
        <x:v>按实际需求评估新传感器、算法、样本和试验；独立立项后开发。</x:v>
      </x:c>
      <x:c r="E47" s="16" t="str">
        <x:v>专项方案、样本验证及成本评估</x:v>
      </x:c>
      <x:c r="F47" s="16" t="str">
        <x:v>不在首期默认承诺；不得仅增加指标名就宣称自动检测已具备。</x:v>
      </x:c>
      <x:c r="G47" s="16" t="str">
        <x:v>无</x:v>
      </x:c>
      <x:c r="H47" s="16" t="str">
        <x:v>本次研发设计建议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a3fadc106ca4b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5" hidden="0" customWidth="1"/>
    <x:col min="4" max="4" width="26" hidden="0" customWidth="1"/>
    <x:col min="5" max="5" width="40" hidden="0" customWidth="1"/>
    <x:col min="6" max="6" width="16" hidden="0" customWidth="1"/>
    <x:col min="7" max="7" width="14" hidden="0" customWidth="1"/>
    <x:col min="8" max="8" width="36" hidden="0" customWidth="1"/>
  </x:cols>
  <x:sheetData>
    <x:row r="1" ht="34" customHeight="1">
      <x:c r="A1" s="3" t="str">
        <x:v>首轮10个工作日行动建议</x:v>
      </x:c>
      <x:c r="B1" s="3"/>
      <x:c r="C1" s="3"/>
      <x:c r="D1" s="3"/>
      <x:c r="E1" s="3"/>
      <x:c r="F1" s="3"/>
      <x:c r="G1" s="3"/>
      <x:c r="H1" s="3"/>
    </x:row>
    <x:row r="2" ht="22" customHeight="1">
      <x:c r="A2" s="8" t="str">
        <x:v>D1以项目实际启动日计。此处为建议动作窗口，不是已批准交付工期；协议/样机未到时，可先进行显式模拟开发，真机验收不得跳过。</x:v>
      </x:c>
      <x:c r="B2" s="8"/>
      <x:c r="C2" s="8"/>
      <x:c r="D2" s="8"/>
      <x:c r="E2" s="8"/>
      <x:c r="F2" s="8"/>
      <x:c r="G2" s="8"/>
      <x:c r="H2" s="8"/>
    </x:row>
    <x:row r="3" ht="22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25" t="str">
        <x:v>窗口</x:v>
      </x:c>
      <x:c r="B5" s="25" t="str">
        <x:v>工作内容</x:v>
      </x:c>
      <x:c r="C5" s="25" t="str">
        <x:v>关联任务</x:v>
      </x:c>
      <x:c r="D5" s="25" t="str">
        <x:v>建议责任</x:v>
      </x:c>
      <x:c r="E5" s="25" t="str">
        <x:v>当轮输出</x:v>
      </x:c>
      <x:c r="F5" s="25" t="str">
        <x:v>负责人</x:v>
      </x:c>
      <x:c r="G5" s="25" t="str">
        <x:v>状态</x:v>
      </x:c>
      <x:c r="H5" s="25" t="str">
        <x:v>反馈/证据</x:v>
      </x:c>
    </x:row>
    <x:row r="6" ht="66" customHeight="1">
      <x:c r="A6" s="20" t="str">
        <x:v>D1</x:v>
      </x:c>
      <x:c r="B6" s="20" t="str">
        <x:v>确认任务边界并分配角色</x:v>
      </x:c>
      <x:c r="C6" s="20" t="str">
        <x:v>B01</x:v>
      </x:c>
      <x:c r="D6" s="20" t="str">
        <x:v>项目负责人</x:v>
      </x:c>
      <x:c r="E6" s="20" t="str">
        <x:v>签字版范围＋任务责任人；角色可由现有开发兼任</x:v>
      </x:c>
      <x:c r="F6" s="42"/>
      <x:c r="G6" s="42" t="str">
        <x:v>未开始</x:v>
      </x:c>
      <x:c r="H6" s="42"/>
    </x:row>
    <x:row r="7" ht="66" customHeight="1">
      <x:c r="A7" s="16" t="str">
        <x:v>D1—D2</x:v>
      </x:c>
      <x:c r="B7" s="16" t="str">
        <x:v>向浪潮、共久、MES方索取输入</x:v>
      </x:c>
      <x:c r="C7" s="16" t="str">
        <x:v>B02,B03,B05</x:v>
      </x:c>
      <x:c r="D7" s="16" t="str">
        <x:v>接口开发＋项目负责人</x:v>
      </x:c>
      <x:c r="E7" s="16" t="str">
        <x:v>逐项缺口/负责人/反馈日期；不等待资料齐全才做框架</x:v>
      </x:c>
      <x:c r="F7" s="42"/>
      <x:c r="G7" s="42" t="str">
        <x:v>未开始</x:v>
      </x:c>
      <x:c r="H7" s="42"/>
    </x:row>
    <x:row r="8" ht="66" customHeight="1">
      <x:c r="A8" s="20" t="str">
        <x:v>D2—D3</x:v>
      </x:c>
      <x:c r="B8" s="20" t="str">
        <x:v>确定测量方法和指标口径</x:v>
      </x:c>
      <x:c r="C8" s="20" t="str">
        <x:v>B04</x:v>
      </x:c>
      <x:c r="D8" s="20" t="str">
        <x:v>项目负责人＋设备端开发</x:v>
      </x:c>
      <x:c r="E8" s="20" t="str">
        <x:v>方法/阈值/统计窗口清单；未批准项列为阻断</x:v>
      </x:c>
      <x:c r="F8" s="42"/>
      <x:c r="G8" s="42" t="str">
        <x:v>未开始</x:v>
      </x:c>
      <x:c r="H8" s="42"/>
    </x:row>
    <x:row r="9" ht="66" customHeight="1">
      <x:c r="A9" s="16" t="str">
        <x:v>D2—D4</x:v>
      </x:c>
      <x:c r="B9" s="16" t="str">
        <x:v>冻结最小数据契约及原型</x:v>
      </x:c>
      <x:c r="C9" s="16" t="str">
        <x:v>B06,B07</x:v>
      </x:c>
      <x:c r="D9" s="16" t="str">
        <x:v>技术负责人＋前端</x:v>
      </x:c>
      <x:c r="E9" s="16" t="str">
        <x:v>接口契约v1、数据模型、核心页面原型</x:v>
      </x:c>
      <x:c r="F9" s="42"/>
      <x:c r="G9" s="42" t="str">
        <x:v>未开始</x:v>
      </x:c>
      <x:c r="H9" s="42"/>
    </x:row>
    <x:row r="10" ht="66" customHeight="1">
      <x:c r="A10" s="20" t="str">
        <x:v>D3—D5</x:v>
      </x:c>
      <x:c r="B10" s="20" t="str">
        <x:v>建立仓库、模拟器和基础表</x:v>
      </x:c>
      <x:c r="C10" s="20" t="str">
        <x:v>F01,F02,F03</x:v>
      </x:c>
      <x:c r="D10" s="20" t="str">
        <x:v>开发团队</x:v>
      </x:c>
      <x:c r="E10" s="20" t="str">
        <x:v>可运行本地模拟环境、测试数据与CI检查</x:v>
      </x:c>
      <x:c r="F10" s="42"/>
      <x:c r="G10" s="42" t="str">
        <x:v>未开始</x:v>
      </x:c>
      <x:c r="H10" s="42"/>
    </x:row>
    <x:row r="11" ht="66" customHeight="1">
      <x:c r="A11" s="16" t="str">
        <x:v>D4—D7</x:v>
      </x:c>
      <x:c r="B11" s="16" t="str">
        <x:v>先跑通共久采集—本地记录链路</x:v>
      </x:c>
      <x:c r="C11" s="16" t="str">
        <x:v>E01,E02,E07</x:v>
      </x:c>
      <x:c r="D11" s="16" t="str">
        <x:v>设备端开发</x:v>
      </x:c>
      <x:c r="E11" s="16" t="str">
        <x:v>取得协议和设备后完成真实读数验证；缺输入时只验模拟链路</x:v>
      </x:c>
      <x:c r="F11" s="42"/>
      <x:c r="G11" s="42" t="str">
        <x:v>未开始</x:v>
      </x:c>
      <x:c r="H11" s="42"/>
    </x:row>
    <x:row r="12" ht="66" customHeight="1">
      <x:c r="A12" s="20" t="str">
        <x:v>D5—D8</x:v>
      </x:c>
      <x:c r="B12" s="20" t="str">
        <x:v>跑通统一接收与新增指标配置</x:v>
      </x:c>
      <x:c r="C12" s="20" t="str">
        <x:v>P02,P03</x:v>
      </x:c>
      <x:c r="D12" s="20" t="str">
        <x:v>平台后端</x:v>
      </x:c>
      <x:c r="E12" s="20" t="str">
        <x:v>三类模拟数据入库；新增指标不改表</x:v>
      </x:c>
      <x:c r="F12" s="42"/>
      <x:c r="G12" s="42" t="str">
        <x:v>未开始</x:v>
      </x:c>
      <x:c r="H12" s="42"/>
    </x:row>
    <x:row r="13" ht="66" customHeight="1">
      <x:c r="A13" s="16" t="str">
        <x:v>D6—D9</x:v>
      </x:c>
      <x:c r="B13" s="16" t="str">
        <x:v>打通现场页和平台最小展示</x:v>
      </x:c>
      <x:c r="C13" s="16" t="str">
        <x:v>E04,P01,P04</x:v>
      </x:c>
      <x:c r="D13" s="16" t="str">
        <x:v>前端＋设备端开发</x:v>
      </x:c>
      <x:c r="E13" s="16" t="str">
        <x:v>工单/盘号绑定、实时值/离线状态、基础查询</x:v>
      </x:c>
      <x:c r="F13" s="42"/>
      <x:c r="G13" s="42" t="str">
        <x:v>未开始</x:v>
      </x:c>
      <x:c r="H13" s="42"/>
    </x:row>
    <x:row r="14" ht="66" customHeight="1">
      <x:c r="A14" s="20" t="str">
        <x:v>D8—D10</x:v>
      </x:c>
      <x:c r="B14" s="20" t="str">
        <x:v>执行首轮故障和追溯演示</x:v>
      </x:c>
      <x:c r="C14" s="20" t="str">
        <x:v>Q01；E07/P03局部</x:v>
      </x:c>
      <x:c r="D14" s="20" t="str">
        <x:v>开发互测</x:v>
      </x:c>
      <x:c r="E14" s="20" t="str">
        <x:v>重复、断线、无效值、换盘演示；问题清单</x:v>
      </x:c>
      <x:c r="F14" s="42"/>
      <x:c r="G14" s="42" t="str">
        <x:v>未开始</x:v>
      </x:c>
      <x:c r="H14" s="42"/>
    </x:row>
    <x:row r="15" ht="66" customHeight="1">
      <x:c r="A15" s="16" t="str">
        <x:v>D10</x:v>
      </x:c>
      <x:c r="B15" s="16" t="str">
        <x:v>评审真实输入缺口并排后续里程碑</x:v>
      </x:c>
      <x:c r="C15" s="16" t="str">
        <x:v>B02—B06复核</x:v>
      </x:c>
      <x:c r="D15" s="16" t="str">
        <x:v>项目负责人＋开发团队</x:v>
      </x:c>
      <x:c r="E15" s="16" t="str">
        <x:v>更新任务估时、责任人及G1—G4计划；模拟完成不等于真机交付</x:v>
      </x:c>
      <x:c r="F15" s="42"/>
      <x:c r="G15" s="42" t="str">
        <x:v>未开始</x:v>
      </x:c>
      <x:c r="H15" s="42"/>
    </x:row>
  </x:sheetData>
  <x:mergeCells>
    <x:mergeCell ref="A1:H1"/>
    <x:mergeCell ref="A2:H3"/>
  </x:mergeCells>
  <x:dataValidations count="1">
    <x:dataValidation type="list" sqref="G6:G15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cb5da1cba444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3" hidden="0" customWidth="1"/>
    <x:col min="4" max="4" width="40" hidden="0" customWidth="1"/>
    <x:col min="5" max="5" width="24" hidden="0" customWidth="1"/>
    <x:col min="6" max="6" width="38" hidden="0" customWidth="1"/>
    <x:col min="7" max="7" width="15" hidden="0" customWidth="1"/>
    <x:col min="8" max="8" width="14" hidden="0" customWidth="1"/>
    <x:col min="9" max="9" width="15" hidden="0" customWidth="1"/>
    <x:col min="10" max="10" width="38" hidden="0" customWidth="1"/>
  </x:cols>
  <x:sheetData>
    <x:row r="1" ht="34" customHeight="1">
      <x:c r="A1" s="3" t="str">
        <x:v>供应商与客户接口确认清单｜14项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2" customHeight="1">
      <x:c r="A2" s="8" t="str">
        <x:v>收到真实资料后填写反馈及证据，不以口头“支持”代替接口和样例。I01—I14为G0输入确认的重要依据。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25" t="str">
        <x:v>编号</x:v>
      </x:c>
      <x:c r="B5" s="25" t="str">
        <x:v>对接方</x:v>
      </x:c>
      <x:c r="C5" s="25" t="str">
        <x:v>确认主题</x:v>
      </x:c>
      <x:c r="D5" s="25" t="str">
        <x:v>需取得资料/答案</x:v>
      </x:c>
      <x:c r="E5" s="25" t="str">
        <x:v>关联任务</x:v>
      </x:c>
      <x:c r="F5" s="25" t="str">
        <x:v>未确认影响</x:v>
      </x:c>
      <x:c r="G5" s="25" t="str">
        <x:v>责任人</x:v>
      </x:c>
      <x:c r="H5" s="25" t="str">
        <x:v>状态</x:v>
      </x:c>
      <x:c r="I5" s="25" t="str">
        <x:v>反馈日期</x:v>
      </x:c>
      <x:c r="J5" s="25" t="str">
        <x:v>实际反馈及证据</x:v>
      </x:c>
    </x:row>
    <x:row r="6" ht="86" customHeight="1">
      <x:c r="A6" s="20" t="str">
        <x:v>I01</x:v>
      </x:c>
      <x:c r="B6" s="20" t="str">
        <x:v>浪潮产品1</x:v>
      </x:c>
      <x:c r="C6" s="20" t="str">
        <x:v>协议与数据粒度</x:v>
      </x:c>
      <x:c r="D6" s="20" t="str">
        <x:v>API/SDK/消息协议、明细或汇总、接口版本、认证及许可</x:v>
      </x:c>
      <x:c r="E6" s="20" t="str">
        <x:v>O01</x:v>
      </x:c>
      <x:c r="F6" s="20" t="str">
        <x:v>无可用接口时只能做模拟适配，不能验收真实接入</x:v>
      </x:c>
      <x:c r="G6" s="42"/>
      <x:c r="H6" s="42" t="str">
        <x:v>待确认</x:v>
      </x:c>
      <x:c r="I6" s="45"/>
      <x:c r="J6" s="42"/>
    </x:row>
    <x:row r="7" ht="86" customHeight="1">
      <x:c r="A7" s="16" t="str">
        <x:v>I02</x:v>
      </x:c>
      <x:c r="B7" s="16" t="str">
        <x:v>浪潮产品1</x:v>
      </x:c>
      <x:c r="C7" s="16" t="str">
        <x:v>搭盖率口径</x:v>
      </x:c>
      <x:c r="D7" s="16" t="str">
        <x:v>单位为百分数还是比例、统计窗口、原始值/均值/极值、阈值与报警字段</x:v>
      </x:c>
      <x:c r="E7" s="16" t="str">
        <x:v>B04,O01</x:v>
      </x:c>
      <x:c r="F7" s="16" t="str">
        <x:v>单位或窗口不明不得生成正式合格判定</x:v>
      </x:c>
      <x:c r="G7" s="42"/>
      <x:c r="H7" s="42" t="str">
        <x:v>待确认</x:v>
      </x:c>
      <x:c r="I7" s="45"/>
      <x:c r="J7" s="42"/>
    </x:row>
    <x:row r="8" ht="86" customHeight="1">
      <x:c r="A8" s="20" t="str">
        <x:v>I03</x:v>
      </x:c>
      <x:c r="B8" s="20" t="str">
        <x:v>浪潮产品2</x:v>
      </x:c>
      <x:c r="C8" s="20" t="str">
        <x:v>实际检测对象</x:v>
      </x:c>
      <x:c r="D8" s="20" t="str">
        <x:v>铜丝屏蔽样品、可覆盖范围、平均间隙口径、局部最大值、算法版本</x:v>
      </x:c>
      <x:c r="E8" s="20" t="str">
        <x:v>B04,O02</x:v>
      </x:c>
      <x:c r="F8" s="20" t="str">
        <x:v>笼绞资料不能代替铜丝屏蔽验证</x:v>
      </x:c>
      <x:c r="G8" s="42"/>
      <x:c r="H8" s="42" t="str">
        <x:v>待确认</x:v>
      </x:c>
      <x:c r="I8" s="45"/>
      <x:c r="J8" s="42"/>
    </x:row>
    <x:row r="9" ht="86" customHeight="1">
      <x:c r="A9" s="16" t="str">
        <x:v>I04</x:v>
      </x:c>
      <x:c r="B9" s="16" t="str">
        <x:v>浪潮两款</x:v>
      </x:c>
      <x:c r="C9" s="16" t="str">
        <x:v>工单与盘号</x:v>
      </x:c>
      <x:c r="D9" s="16" t="str">
        <x:v>可写入外部任务编号或读取关联键、换盘事件、停启事件</x:v>
      </x:c>
      <x:c r="E9" s="16" t="str">
        <x:v>B05,O03</x:v>
      </x:c>
      <x:c r="F9" s="16" t="str">
        <x:v>无法绑定时先显式人工关联，不按时间猜测配对</x:v>
      </x:c>
      <x:c r="G9" s="42"/>
      <x:c r="H9" s="42" t="str">
        <x:v>待确认</x:v>
      </x:c>
      <x:c r="I9" s="45"/>
      <x:c r="J9" s="42"/>
    </x:row>
    <x:row r="10" ht="86" customHeight="1">
      <x:c r="A10" s="20" t="str">
        <x:v>I05</x:v>
      </x:c>
      <x:c r="B10" s="20" t="str">
        <x:v>浪潮两款</x:v>
      </x:c>
      <x:c r="C10" s="20" t="str">
        <x:v>图像与补传</x:v>
      </x:c>
      <x:c r="D10" s="20" t="str">
        <x:v>图片字段/下载鉴权/保存权限、时间、米数、离线历史获取、去重键</x:v>
      </x:c>
      <x:c r="E10" s="20" t="str">
        <x:v>O03,P05</x:v>
      </x:c>
      <x:c r="F10" s="20" t="str">
        <x:v>图像不可用则标明无图；不得承诺历史重放</x:v>
      </x:c>
      <x:c r="G10" s="42"/>
      <x:c r="H10" s="42" t="str">
        <x:v>待确认</x:v>
      </x:c>
      <x:c r="I10" s="45"/>
      <x:c r="J10" s="42"/>
    </x:row>
    <x:row r="11" ht="86" customHeight="1">
      <x:c r="A11" s="16" t="str">
        <x:v>I06</x:v>
      </x:c>
      <x:c r="B11" s="16" t="str">
        <x:v>浪潮两款</x:v>
      </x:c>
      <x:c r="C11" s="16" t="str">
        <x:v>ODM软件及交付边界</x:v>
      </x:c>
      <x:c r="D11" s="16" t="str">
        <x:v>整机清单、品牌呈现、软件授权、升级支持、版本变更通知、接口使用权</x:v>
      </x:c>
      <x:c r="E11" s="16" t="str">
        <x:v>B01,B02</x:v>
      </x:c>
      <x:c r="F11" s="16" t="str">
        <x:v>商务确认，不由开发承诺源码或无限授权</x:v>
      </x:c>
      <x:c r="G11" s="42"/>
      <x:c r="H11" s="42" t="str">
        <x:v>待确认</x:v>
      </x:c>
      <x:c r="I11" s="45"/>
      <x:c r="J11" s="42"/>
    </x:row>
    <x:row r="12" ht="86" customHeight="1">
      <x:c r="A12" s="20" t="str">
        <x:v>I07</x:v>
      </x:c>
      <x:c r="B12" s="20" t="str">
        <x:v>上海共久</x:v>
      </x:c>
      <x:c r="C12" s="20" t="str">
        <x:v>确切型号与量程</x:v>
      </x:c>
      <x:c r="D12" s="20" t="str">
        <x:v>170AL2-2D实际供货型号、1～70mm或30～170mm、配套工控机/报警器/机架边界</x:v>
      </x:c>
      <x:c r="E12" s="20" t="str">
        <x:v>B03</x:v>
      </x:c>
      <x:c r="F12" s="20" t="str">
        <x:v>规格表列两种范围，需核对实物</x:v>
      </x:c>
      <x:c r="G12" s="42"/>
      <x:c r="H12" s="42" t="str">
        <x:v>待确认</x:v>
      </x:c>
      <x:c r="I12" s="45"/>
      <x:c r="J12" s="42"/>
    </x:row>
    <x:row r="13" ht="86" customHeight="1">
      <x:c r="A13" s="16" t="str">
        <x:v>I08</x:v>
      </x:c>
      <x:c r="B13" s="16" t="str">
        <x:v>上海共久</x:v>
      </x:c>
      <x:c r="C13" s="16" t="str">
        <x:v>Modbus完整协议</x:v>
      </x:c>
      <x:c r="D13" s="16" t="str">
        <x:v>串口参数、站号、功能码、寄存器、数据类型、字节序、倍率、无效码、许可</x:v>
      </x:c>
      <x:c r="E13" s="16" t="str">
        <x:v>E01,E02</x:v>
      </x:c>
      <x:c r="F13" s="16" t="str">
        <x:v>没有寄存器表不得猜测寄存器和写指令</x:v>
      </x:c>
      <x:c r="G13" s="42"/>
      <x:c r="H13" s="42" t="str">
        <x:v>待确认</x:v>
      </x:c>
      <x:c r="I13" s="45"/>
      <x:c r="J13" s="42"/>
    </x:row>
    <x:row r="14" ht="86" customHeight="1">
      <x:c r="A14" s="20" t="str">
        <x:v>I09</x:v>
      </x:c>
      <x:c r="B14" s="20" t="str">
        <x:v>上海共久</x:v>
      </x:c>
      <x:c r="C14" s="20" t="str">
        <x:v>测量能力与读取频率</x:v>
      </x:c>
      <x:c r="D14" s="20" t="str">
        <x:v>双向读数是否同步、方向定义、实际可读频率、原生不圆度有无及方法、状态码</x:v>
      </x:c>
      <x:c r="E14" s="20" t="str">
        <x:v>B04,E03</x:v>
      </x:c>
      <x:c r="F14" s="20" t="str">
        <x:v>600次/秒为内部扫描，未证实对外同频</x:v>
      </x:c>
      <x:c r="G14" s="42"/>
      <x:c r="H14" s="42" t="str">
        <x:v>待确认</x:v>
      </x:c>
      <x:c r="I14" s="45"/>
      <x:c r="J14" s="42"/>
    </x:row>
    <x:row r="15" ht="86" customHeight="1">
      <x:c r="A15" s="16" t="str">
        <x:v>I10</x:v>
      </x:c>
      <x:c r="B15" s="16" t="str">
        <x:v>上海共久/现场</x:v>
      </x:c>
      <x:c r="C15" s="16" t="str">
        <x:v>计米和报警接口</x:v>
      </x:c>
      <x:c r="D15" s="16" t="str">
        <x:v>计米协议/复位规则/倒退处理、报警器型号及输出方式、校准流程</x:v>
      </x:c>
      <x:c r="E15" s="16" t="str">
        <x:v>E05,E06,E08</x:v>
      </x:c>
      <x:c r="F15" s="16" t="str">
        <x:v>位置缺失标未知；实际声光输出需独立联调</x:v>
      </x:c>
      <x:c r="G15" s="42"/>
      <x:c r="H15" s="42" t="str">
        <x:v>待确认</x:v>
      </x:c>
      <x:c r="I15" s="45"/>
      <x:c r="J15" s="42"/>
    </x:row>
    <x:row r="16" ht="86" customHeight="1">
      <x:c r="A16" s="20" t="str">
        <x:v>I11</x:v>
      </x:c>
      <x:c r="B16" s="20" t="str">
        <x:v>电缆厂</x:v>
      </x:c>
      <x:c r="C16" s="20" t="str">
        <x:v>检测与判定规则</x:v>
      </x:c>
      <x:c r="D16" s="20" t="str">
        <x:v>检测层级/工位/外径范围/配方、公式、等号、平均窗口、抽检或连续检测</x:v>
      </x:c>
      <x:c r="E16" s="20" t="str">
        <x:v>B04,Q03</x:v>
      </x:c>
      <x:c r="F16" s="20" t="str">
        <x:v>客户规则未确认时仅做试算，不出正式判定</x:v>
      </x:c>
      <x:c r="G16" s="42"/>
      <x:c r="H16" s="42" t="str">
        <x:v>待确认</x:v>
      </x:c>
      <x:c r="I16" s="45"/>
      <x:c r="J16" s="42"/>
    </x:row>
    <x:row r="17" ht="86" customHeight="1">
      <x:c r="A17" s="16" t="str">
        <x:v>I12</x:v>
      </x:c>
      <x:c r="B17" s="16" t="str">
        <x:v>电缆厂MES</x:v>
      </x:c>
      <x:c r="C17" s="16" t="str">
        <x:v>身份及数据接收</x:v>
      </x:c>
      <x:c r="D17" s="16" t="str">
        <x:v>订单/工单/盘号/线芯、指标编码、消息粒度/频率、认证、签名、业务确认码</x:v>
      </x:c>
      <x:c r="E17" s="16" t="str">
        <x:v>B05,M01</x:v>
      </x:c>
      <x:c r="F17" s="16" t="str">
        <x:v>不能默认客户现有接口支持全部字段</x:v>
      </x:c>
      <x:c r="G17" s="42"/>
      <x:c r="H17" s="42" t="str">
        <x:v>待确认</x:v>
      </x:c>
      <x:c r="I17" s="45"/>
      <x:c r="J17" s="42"/>
    </x:row>
    <x:row r="18" ht="86" customHeight="1">
      <x:c r="A18" s="20" t="str">
        <x:v>I13</x:v>
      </x:c>
      <x:c r="B18" s="20" t="str">
        <x:v>电缆厂MES</x:v>
      </x:c>
      <x:c r="C18" s="20" t="str">
        <x:v>幂等与对账</x:v>
      </x:c>
      <x:c r="D18" s="20" t="str">
        <x:v>record_id保存/去重、业务拒绝处理、查询接口、测试环境及样例</x:v>
      </x:c>
      <x:c r="E18" s="20" t="str">
        <x:v>M02,M03</x:v>
      </x:c>
      <x:c r="F18" s="20" t="str">
        <x:v>无接收方去重支持不得承诺重复消息零重复入账</x:v>
      </x:c>
      <x:c r="G18" s="42"/>
      <x:c r="H18" s="42" t="str">
        <x:v>待确认</x:v>
      </x:c>
      <x:c r="I18" s="45"/>
      <x:c r="J18" s="42"/>
    </x:row>
    <x:row r="19" ht="86" customHeight="1">
      <x:c r="A19" s="16" t="str">
        <x:v>I14</x:v>
      </x:c>
      <x:c r="B19" s="16" t="str">
        <x:v>电缆厂IT</x:v>
      </x:c>
      <x:c r="C19" s="16" t="str">
        <x:v>部署和保留策略</x:v>
      </x:c>
      <x:c r="D19" s="16" t="str">
        <x:v>服务器/操作系统/网络、访问人数、原始数据频率、附件量、保留周期、备份目标</x:v>
      </x:c>
      <x:c r="E19" s="16" t="str">
        <x:v>B06,P09,Q04</x:v>
      </x:c>
      <x:c r="F19" s="16" t="str">
        <x:v>容量及保留策略确认前不承诺永久保留全部数据</x:v>
      </x:c>
      <x:c r="G19" s="42"/>
      <x:c r="H19" s="42" t="str">
        <x:v>待确认</x:v>
      </x:c>
      <x:c r="I19" s="45"/>
      <x:c r="J19" s="42"/>
    </x:row>
  </x:sheetData>
  <x:mergeCells>
    <x:mergeCell ref="A1:J1"/>
    <x:mergeCell ref="A2:J3"/>
  </x:mergeCells>
  <x:dataValidations count="1">
    <x:dataValidation type="list" sqref="H6:H19">
      <x:formula1>"待确认,已索取,部分取得,已确认,不支持"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3ca37388244d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6" hidden="0" customWidth="1"/>
    <x:col min="4" max="4" width="40" hidden="0" customWidth="1"/>
    <x:col min="5" max="5" width="40" hidden="0" customWidth="1"/>
    <x:col min="6" max="6" width="14" hidden="0" customWidth="1"/>
    <x:col min="7" max="7" width="15" hidden="0" customWidth="1"/>
    <x:col min="8" max="8" width="14" hidden="0" customWidth="1"/>
    <x:col min="9" max="9" width="38" hidden="0" customWidth="1"/>
  </x:cols>
  <x:sheetData>
    <x:row r="1" ht="34" customHeight="1">
      <x:c r="A1" s="3" t="str">
        <x:v>核心验收用例｜20条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8" t="str">
        <x:v>真机精度、现场报警与客户MES必须有真实联调证据；模拟通过只证明软件链路，不替代实物能力或客户接收。填写右侧执行列。</x:v>
      </x:c>
      <x:c r="B2" s="8"/>
      <x:c r="C2" s="8"/>
      <x:c r="D2" s="8"/>
      <x:c r="E2" s="8"/>
      <x:c r="F2" s="8"/>
      <x:c r="G2" s="8"/>
      <x:c r="H2" s="8"/>
      <x:c r="I2" s="8"/>
    </x:row>
    <x:row r="3" ht="22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25" t="str">
        <x:v>编号</x:v>
      </x:c>
      <x:c r="B5" s="25" t="str">
        <x:v>验证主题</x:v>
      </x:c>
      <x:c r="C5" s="25" t="str">
        <x:v>关联任务</x:v>
      </x:c>
      <x:c r="D5" s="25" t="str">
        <x:v>操作步骤</x:v>
      </x:c>
      <x:c r="E5" s="25" t="str">
        <x:v>预期/通过标准</x:v>
      </x:c>
      <x:c r="F5" s="25" t="str">
        <x:v>执行人</x:v>
      </x:c>
      <x:c r="G5" s="25" t="str">
        <x:v>执行日期</x:v>
      </x:c>
      <x:c r="H5" s="25" t="str">
        <x:v>结果</x:v>
      </x:c>
      <x:c r="I5" s="25" t="str">
        <x:v>证据/问题编号</x:v>
      </x:c>
    </x:row>
    <x:row r="6" ht="85" customHeight="1">
      <x:c r="A6" s="20" t="str">
        <x:v>T01</x:v>
      </x:c>
      <x:c r="B6" s="20" t="str">
        <x:v>供应与范围</x:v>
      </x:c>
      <x:c r="C6" s="20" t="str">
        <x:v>B01</x:v>
      </x:c>
      <x:c r="D6" s="20" t="str">
        <x:v>检查范围和任务表</x:v>
      </x:c>
      <x:c r="E6" s="20" t="str">
        <x:v>两款ODM、一款共久硬件＋自研端、平台自研；不存在产品1/2底层算法自研任务</x:v>
      </x:c>
      <x:c r="F6" s="42"/>
      <x:c r="G6" s="45"/>
      <x:c r="H6" s="42" t="str">
        <x:v>未执行</x:v>
      </x:c>
      <x:c r="I6" s="42"/>
    </x:row>
    <x:row r="7" ht="85" customHeight="1">
      <x:c r="A7" s="16" t="str">
        <x:v>T02</x:v>
      </x:c>
      <x:c r="B7" s="16" t="str">
        <x:v>共久解析</x:v>
      </x:c>
      <x:c r="C7" s="16" t="str">
        <x:v>E01</x:v>
      </x:c>
      <x:c r="D7" s="16" t="str">
        <x:v>回放已确认寄存器测试向量并对照实物</x:v>
      </x:c>
      <x:c r="E7" s="16" t="str">
        <x:v>方向、倍率、符号/字节序及单位一致；非法帧有错误记录</x:v>
      </x:c>
      <x:c r="F7" s="42"/>
      <x:c r="G7" s="45"/>
      <x:c r="H7" s="42" t="str">
        <x:v>未执行</x:v>
      </x:c>
      <x:c r="I7" s="42"/>
    </x:row>
    <x:row r="8" ht="85" customHeight="1">
      <x:c r="A8" s="20" t="str">
        <x:v>T03</x:v>
      </x:c>
      <x:c r="B8" s="20" t="str">
        <x:v>不圆度计算</x:v>
      </x:c>
      <x:c r="C8" s="20" t="str">
        <x:v>E03</x:v>
      </x:c>
      <x:c r="D8" s="20" t="str">
        <x:v>使用负责人确认的黄金样本复算</x:v>
      </x:c>
      <x:c r="E8" s="20" t="str">
        <x:v>结果在确认容差内；方法版本可追溯；无公式批准不可正式判定</x:v>
      </x:c>
      <x:c r="F8" s="42"/>
      <x:c r="G8" s="45"/>
      <x:c r="H8" s="42" t="str">
        <x:v>未执行</x:v>
      </x:c>
      <x:c r="I8" s="42"/>
    </x:row>
    <x:row r="9" ht="85" customHeight="1">
      <x:c r="A9" s="16" t="str">
        <x:v>T04</x:v>
      </x:c>
      <x:c r="B9" s="16" t="str">
        <x:v>阈值边界</x:v>
      </x:c>
      <x:c r="C9" s="16" t="str">
        <x:v>B04,E03,P02</x:v>
      </x:c>
      <x:c r="D9" s="16" t="str">
        <x:v>构造低于、等于、高于阈值及舍入边界</x:v>
      </x:c>
      <x:c r="E9" s="16" t="str">
        <x:v>按配置操作符执行；展示舍入不改变原始判定</x:v>
      </x:c>
      <x:c r="F9" s="42"/>
      <x:c r="G9" s="45"/>
      <x:c r="H9" s="42" t="str">
        <x:v>未执行</x:v>
      </x:c>
      <x:c r="I9" s="42"/>
    </x:row>
    <x:row r="10" ht="85" customHeight="1">
      <x:c r="A10" s="20" t="str">
        <x:v>T05</x:v>
      </x:c>
      <x:c r="B10" s="20" t="str">
        <x:v>无效与陈旧</x:v>
      </x:c>
      <x:c r="C10" s="20" t="str">
        <x:v>E02,P04</x:v>
      </x:c>
      <x:c r="D10" s="20" t="str">
        <x:v>断开仪表并注入空值、超量程、陈旧值</x:v>
      </x:c>
      <x:c r="E10" s="20" t="str">
        <x:v>显示无效或离线；不补0、不保持为新鲜正常数据</x:v>
      </x:c>
      <x:c r="F10" s="42"/>
      <x:c r="G10" s="45"/>
      <x:c r="H10" s="42" t="str">
        <x:v>未执行</x:v>
      </x:c>
      <x:c r="I10" s="42"/>
    </x:row>
    <x:row r="11" ht="85" customHeight="1">
      <x:c r="A11" s="16" t="str">
        <x:v>T06</x:v>
      </x:c>
      <x:c r="B11" s="16" t="str">
        <x:v>换盘与米数</x:v>
      </x:c>
      <x:c r="C11" s="16" t="str">
        <x:v>E05,P01</x:v>
      </x:c>
      <x:c r="D11" s="16" t="str">
        <x:v>换盘、计米复位、缺计米、倒退</x:v>
      </x:c>
      <x:c r="E11" s="16" t="str">
        <x:v>不串盘；位置质量可查；未知位置不等于0米</x:v>
      </x:c>
      <x:c r="F11" s="42"/>
      <x:c r="G11" s="45"/>
      <x:c r="H11" s="42" t="str">
        <x:v>未执行</x:v>
      </x:c>
      <x:c r="I11" s="42"/>
    </x:row>
    <x:row r="12" ht="85" customHeight="1">
      <x:c r="A12" s="20" t="str">
        <x:v>T07</x:v>
      </x:c>
      <x:c r="B12" s="20" t="str">
        <x:v>独立报警</x:v>
      </x:c>
      <x:c r="C12" s="20" t="str">
        <x:v>E06</x:v>
      </x:c>
      <x:c r="D12" s="20" t="str">
        <x:v>关闭平台网络后制造超限</x:v>
      </x:c>
      <x:c r="E12" s="20" t="str">
        <x:v>现场报警仍生效；原始超限和设备故障分别留痕</x:v>
      </x:c>
      <x:c r="F12" s="42"/>
      <x:c r="G12" s="45"/>
      <x:c r="H12" s="42" t="str">
        <x:v>未执行</x:v>
      </x:c>
      <x:c r="I12" s="42"/>
    </x:row>
    <x:row r="13" ht="85" customHeight="1">
      <x:c r="A13" s="16" t="str">
        <x:v>T08</x:v>
      </x:c>
      <x:c r="B13" s="16" t="str">
        <x:v>离线补传</x:v>
      </x:c>
      <x:c r="C13" s="16" t="str">
        <x:v>E07,P03</x:v>
      </x:c>
      <x:c r="D13" s="16" t="str">
        <x:v>阻断网络后恢复并对账</x:v>
      </x:c>
      <x:c r="E13" s="16" t="str">
        <x:v>已落盘记录补齐；record_id唯一；不可恢复区间明确标记</x:v>
      </x:c>
      <x:c r="F13" s="42"/>
      <x:c r="G13" s="45"/>
      <x:c r="H13" s="42" t="str">
        <x:v>未执行</x:v>
      </x:c>
      <x:c r="I13" s="42"/>
    </x:row>
    <x:row r="14" ht="85" customHeight="1">
      <x:c r="A14" s="20" t="str">
        <x:v>T09</x:v>
      </x:c>
      <x:c r="B14" s="20" t="str">
        <x:v>重启恢复</x:v>
      </x:c>
      <x:c r="C14" s="20" t="str">
        <x:v>E08,Q02</x:v>
      </x:c>
      <x:c r="D14" s="20" t="str">
        <x:v>进程终止/设备重启后再运行</x:v>
      </x:c>
      <x:c r="E14" s="20" t="str">
        <x:v>队列不丢；任务状态需安全恢复；不能自动接错盘号</x:v>
      </x:c>
      <x:c r="F14" s="42"/>
      <x:c r="G14" s="45"/>
      <x:c r="H14" s="42" t="str">
        <x:v>未执行</x:v>
      </x:c>
      <x:c r="I14" s="42"/>
    </x:row>
    <x:row r="15" ht="85" customHeight="1">
      <x:c r="A15" s="16" t="str">
        <x:v>T10</x:v>
      </x:c>
      <x:c r="B15" s="16" t="str">
        <x:v>ODM两款真机</x:v>
      </x:c>
      <x:c r="C15" s="16" t="str">
        <x:v>O01,O02,O03</x:v>
      </x:c>
      <x:c r="D15" s="16" t="str">
        <x:v>用实际两款设备采集并核对画面/报告</x:v>
      </x:c>
      <x:c r="E15" s="16" t="str">
        <x:v>搭盖率与间隙口径正确；汇总不是明细；非铜丝屏蔽样品不得替代</x:v>
      </x:c>
      <x:c r="F15" s="42"/>
      <x:c r="G15" s="45"/>
      <x:c r="H15" s="42" t="str">
        <x:v>未执行</x:v>
      </x:c>
      <x:c r="I15" s="42"/>
    </x:row>
    <x:row r="16" ht="85" customHeight="1">
      <x:c r="A16" s="20" t="str">
        <x:v>T11</x:v>
      </x:c>
      <x:c r="B16" s="20" t="str">
        <x:v>证据追溯</x:v>
      </x:c>
      <x:c r="C16" s="20" t="str">
        <x:v>P05</x:v>
      </x:c>
      <x:c r="D16" s="20" t="str">
        <x:v>随机抽取一条异常向前追溯</x:v>
      </x:c>
      <x:c r="E16" s="20" t="str">
        <x:v>找到任务、时间、来源、原始值、配方/方法及可用图像或波形</x:v>
      </x:c>
      <x:c r="F16" s="42"/>
      <x:c r="G16" s="45"/>
      <x:c r="H16" s="42" t="str">
        <x:v>未执行</x:v>
      </x:c>
      <x:c r="I16" s="42"/>
    </x:row>
    <x:row r="17" ht="85" customHeight="1">
      <x:c r="A17" s="16" t="str">
        <x:v>T12</x:v>
      </x:c>
      <x:c r="B17" s="16" t="str">
        <x:v>新增指标</x:v>
      </x:c>
      <x:c r="C17" s="16" t="str">
        <x:v>P02,P07</x:v>
      </x:c>
      <x:c r="D17" s="16" t="str">
        <x:v>配置一个新数值指标并导入样例</x:v>
      </x:c>
      <x:c r="E17" s="16" t="str">
        <x:v>无需改数据库列及公共查询主代码；可查询、判定、导出并映射MES</x:v>
      </x:c>
      <x:c r="F17" s="42"/>
      <x:c r="G17" s="45"/>
      <x:c r="H17" s="42" t="str">
        <x:v>未执行</x:v>
      </x:c>
      <x:c r="I17" s="42"/>
    </x:row>
    <x:row r="18" ht="85" customHeight="1">
      <x:c r="A18" s="20" t="str">
        <x:v>T13</x:v>
      </x:c>
      <x:c r="B18" s="20" t="str">
        <x:v>D/E扩展数据</x:v>
      </x:c>
      <x:c r="C18" s="20" t="str">
        <x:v>P07</x:v>
      </x:c>
      <x:c r="D18" s="20" t="str">
        <x:v>导入偏心度；录入护套最薄点/标称值</x:v>
      </x:c>
      <x:c r="E18" s="20" t="str">
        <x:v>来源、人员、时间可查；比例按确认方法计算；标称≤0为无效</x:v>
      </x:c>
      <x:c r="F18" s="42"/>
      <x:c r="G18" s="45"/>
      <x:c r="H18" s="42" t="str">
        <x:v>未执行</x:v>
      </x:c>
      <x:c r="I18" s="42"/>
    </x:row>
    <x:row r="19" ht="85" customHeight="1">
      <x:c r="A19" s="16" t="str">
        <x:v>T14</x:v>
      </x:c>
      <x:c r="B19" s="16" t="str">
        <x:v>报告真实性</x:v>
      </x:c>
      <x:c r="C19" s="16" t="str">
        <x:v>P08</x:v>
      </x:c>
      <x:c r="D19" s="16" t="str">
        <x:v>混合有效、无效、模拟及未检测数据出报告</x:v>
      </x:c>
      <x:c r="E19" s="16" t="str">
        <x:v>模拟不能进入正式报告；缺测与未检测显式呈现；统计分母可核算</x:v>
      </x:c>
      <x:c r="F19" s="42"/>
      <x:c r="G19" s="45"/>
      <x:c r="H19" s="42" t="str">
        <x:v>未执行</x:v>
      </x:c>
      <x:c r="I19" s="42"/>
    </x:row>
    <x:row r="20" ht="85" customHeight="1">
      <x:c r="A20" s="20" t="str">
        <x:v>T15</x:v>
      </x:c>
      <x:c r="B20" s="20" t="str">
        <x:v>规则版本</x:v>
      </x:c>
      <x:c r="C20" s="20" t="str">
        <x:v>P02,P08</x:v>
      </x:c>
      <x:c r="D20" s="20" t="str">
        <x:v>更换配方后查看旧盘号</x:v>
      </x:c>
      <x:c r="E20" s="20" t="str">
        <x:v>历史记录和已发布报告仍使用旧版本；重算产生新版本及审计</x:v>
      </x:c>
      <x:c r="F20" s="42"/>
      <x:c r="G20" s="45"/>
      <x:c r="H20" s="42" t="str">
        <x:v>未执行</x:v>
      </x:c>
      <x:c r="I20" s="42"/>
    </x:row>
    <x:row r="21" ht="85" customHeight="1">
      <x:c r="A21" s="16" t="str">
        <x:v>T16</x:v>
      </x:c>
      <x:c r="B21" s="16" t="str">
        <x:v>MES业务确认</x:v>
      </x:c>
      <x:c r="C21" s="16" t="str">
        <x:v>M01,M02</x:v>
      </x:c>
      <x:c r="D21" s="16" t="str">
        <x:v>模拟HTTP成功但业务拒绝/部分接收</x:v>
      </x:c>
      <x:c r="E21" s="16" t="str">
        <x:v>只有被业务确认记录标已接收；失败原因、重试和人工处理可见</x:v>
      </x:c>
      <x:c r="F21" s="42"/>
      <x:c r="G21" s="45"/>
      <x:c r="H21" s="42" t="str">
        <x:v>未执行</x:v>
      </x:c>
      <x:c r="I21" s="42"/>
    </x:row>
    <x:row r="22" ht="85" customHeight="1">
      <x:c r="A22" s="20" t="str">
        <x:v>T17</x:v>
      </x:c>
      <x:c r="B22" s="20" t="str">
        <x:v>MES幂等对账</x:v>
      </x:c>
      <x:c r="C22" s="20" t="str">
        <x:v>M02,M03</x:v>
      </x:c>
      <x:c r="D22" s="20" t="str">
        <x:v>多次发同一记录并在MES查询</x:v>
      </x:c>
      <x:c r="E22" s="20" t="str">
        <x:v>按双方确认的业务键不重复入账；未确认记录不能计成功</x:v>
      </x:c>
      <x:c r="F22" s="42"/>
      <x:c r="G22" s="45"/>
      <x:c r="H22" s="42" t="str">
        <x:v>未执行</x:v>
      </x:c>
      <x:c r="I22" s="42"/>
    </x:row>
    <x:row r="23" ht="85" customHeight="1">
      <x:c r="A23" s="16" t="str">
        <x:v>T18</x:v>
      </x:c>
      <x:c r="B23" s="16" t="str">
        <x:v>权限与审计</x:v>
      </x:c>
      <x:c r="C23" s="16" t="str">
        <x:v>P09</x:v>
      </x:c>
      <x:c r="D23" s="16" t="str">
        <x:v>普通操作员尝试改配方/删除原始异常</x:v>
      </x:c>
      <x:c r="E23" s="16" t="str">
        <x:v>拒绝越权；合法修订有人员、时间、前后值与理由</x:v>
      </x:c>
      <x:c r="F23" s="42"/>
      <x:c r="G23" s="45"/>
      <x:c r="H23" s="42" t="str">
        <x:v>未执行</x:v>
      </x:c>
      <x:c r="I23" s="42"/>
    </x:row>
    <x:row r="24" ht="85" customHeight="1">
      <x:c r="A24" s="20" t="str">
        <x:v>T19</x:v>
      </x:c>
      <x:c r="B24" s="20" t="str">
        <x:v>持续运行及容量</x:v>
      </x:c>
      <x:c r="C24" s="20" t="str">
        <x:v>Q04</x:v>
      </x:c>
      <x:c r="D24" s="20" t="str">
        <x:v>按批准负载至少开展24小时内部连续测试</x:v>
      </x:c>
      <x:c r="E24" s="20" t="str">
        <x:v>记录延迟、资源、积压、缺测和磁盘增长；容量计算与实测可对照</x:v>
      </x:c>
      <x:c r="F24" s="42"/>
      <x:c r="G24" s="45"/>
      <x:c r="H24" s="42" t="str">
        <x:v>未执行</x:v>
      </x:c>
      <x:c r="I24" s="42"/>
    </x:row>
    <x:row r="25" ht="85" customHeight="1">
      <x:c r="A25" s="16" t="str">
        <x:v>T20</x:v>
      </x:c>
      <x:c r="B25" s="16" t="str">
        <x:v>备份与发布</x:v>
      </x:c>
      <x:c r="C25" s="16" t="str">
        <x:v>P09,Q05</x:v>
      </x:c>
      <x:c r="D25" s="16" t="str">
        <x:v>新环境安装、恢复备份、演练升级失败回滚</x:v>
      </x:c>
      <x:c r="E25" s="16" t="str">
        <x:v>任务、测量和附件关联完整；配置不带生产密钥；旧数据仍可读</x:v>
      </x:c>
      <x:c r="F25" s="42"/>
      <x:c r="G25" s="45"/>
      <x:c r="H25" s="42" t="str">
        <x:v>未执行</x:v>
      </x:c>
      <x:c r="I25" s="42"/>
    </x:row>
  </x:sheetData>
  <x:mergeCells>
    <x:mergeCell ref="A1:I1"/>
    <x:mergeCell ref="A2:I3"/>
  </x:mergeCells>
  <x:dataValidations count="1">
    <x:dataValidation type="list" sqref="H6:H25">
      <x:formula1>"未执行,通过,不通过,阻塞"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d9ce760b2e47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40" hidden="0" customWidth="1"/>
    <x:col min="5" max="5" width="36" hidden="0" customWidth="1"/>
  </x:cols>
  <x:sheetData>
    <x:row r="1" ht="34" customHeight="1">
      <x:c r="A1" s="3" t="str">
        <x:v>范围、使用规则与资料依据</x:v>
      </x:c>
      <x:c r="B1" s="3"/>
      <x:c r="C1" s="3"/>
      <x:c r="D1" s="3"/>
      <x:c r="E1" s="3"/>
    </x:row>
    <x:row r="2" ht="22" customHeight="1">
      <x:c r="A2" s="8" t="str">
        <x:v>当前任务以用户最新分工为准。技术参数资料用于确认输入和差异，不作为本方已完成证明。所有参考文件均为用户本次/前文提供资料，无新增外部政策结论。</x:v>
      </x:c>
      <x:c r="B2" s="8"/>
      <x:c r="C2" s="8"/>
      <x:c r="D2" s="8"/>
      <x:c r="E2" s="8"/>
    </x:row>
    <x:row r="3" ht="22" customHeight="1">
      <x:c r="A3" s="8"/>
      <x:c r="B3" s="8"/>
      <x:c r="C3" s="8"/>
      <x:c r="D3" s="8"/>
      <x:c r="E3" s="8"/>
    </x:row>
    <x:row r="5" ht="32" customHeight="1">
      <x:c r="A5" s="25" t="str">
        <x:v>类别/编号</x:v>
      </x:c>
      <x:c r="B5" s="25" t="str">
        <x:v>性质</x:v>
      </x:c>
      <x:c r="C5" s="25" t="str">
        <x:v>条目</x:v>
      </x:c>
      <x:c r="D5" s="25" t="str">
        <x:v>使用方式/约束</x:v>
      </x:c>
      <x:c r="E5" s="25" t="str">
        <x:v>来源/位置</x:v>
      </x:c>
    </x:row>
    <x:row r="6" ht="80" customHeight="1">
      <x:c r="A6" s="20" t="str">
        <x:v>范围</x:v>
      </x:c>
      <x:c r="B6" s="20" t="str">
        <x:v>确认</x:v>
      </x:c>
      <x:c r="C6" s="20" t="str">
        <x:v>产品1</x:v>
      </x:c>
      <x:c r="D6" s="20" t="str">
        <x:v>浪潮ODM整机＋配套设备端软件/算法；本方接入统一平台。</x:v>
      </x:c>
      <x:c r="E6" s="20" t="str">
        <x:v>用户最新确认</x:v>
      </x:c>
    </x:row>
    <x:row r="7" ht="80" customHeight="1">
      <x:c r="A7" s="16" t="str">
        <x:v>范围</x:v>
      </x:c>
      <x:c r="B7" s="16" t="str">
        <x:v>确认</x:v>
      </x:c>
      <x:c r="C7" s="16" t="str">
        <x:v>产品2</x:v>
      </x:c>
      <x:c r="D7" s="16" t="str">
        <x:v>浪潮ODM铜丝屏蔽相邻间隙检测产品；不是本方重写算法。</x:v>
      </x:c>
      <x:c r="E7" s="16" t="str">
        <x:v>用户最新确认</x:v>
      </x:c>
    </x:row>
    <x:row r="8" ht="80" customHeight="1">
      <x:c r="A8" s="20" t="str">
        <x:v>范围</x:v>
      </x:c>
      <x:c r="B8" s="20" t="str">
        <x:v>确认</x:v>
      </x:c>
      <x:c r="C8" s="20" t="str">
        <x:v>产品3</x:v>
      </x:c>
      <x:c r="D8" s="20" t="str">
        <x:v>上海共久提供测径硬件；本方自研设备端检测软件。</x:v>
      </x:c>
      <x:c r="E8" s="20" t="str">
        <x:v>用户最新确认</x:v>
      </x:c>
    </x:row>
    <x:row r="9" ht="80" customHeight="1">
      <x:c r="A9" s="16" t="str">
        <x:v>范围</x:v>
      </x:c>
      <x:c r="B9" s="16" t="str">
        <x:v>确认</x:v>
      </x:c>
      <x:c r="C9" s="16" t="str">
        <x:v>统一平台</x:v>
      </x:c>
      <x:c r="D9" s="16" t="str">
        <x:v>平台及向客户MES输出的接口由本方开发；支持更多指标扩展。</x:v>
      </x:c>
      <x:c r="E9" s="16" t="str">
        <x:v>用户最新确认</x:v>
      </x:c>
    </x:row>
    <x:row r="10" ht="80" customHeight="1">
      <x:c r="A10" s="20" t="str">
        <x:v>执行规则</x:v>
      </x:c>
      <x:c r="B10" s="20" t="str">
        <x:v>P0</x:v>
      </x:c>
      <x:c r="C10" s="20" t="str">
        <x:v>试点必需</x:v>
      </x:c>
      <x:c r="D10" s="20" t="str">
        <x:v>必须通过对应验收才可正式交付；完成状态有证据。</x:v>
      </x:c>
      <x:c r="E10" s="20" t="str">
        <x:v>本次开发拆解建议</x:v>
      </x:c>
    </x:row>
    <x:row r="11" ht="80" customHeight="1">
      <x:c r="A11" s="16" t="str">
        <x:v>执行规则</x:v>
      </x:c>
      <x:c r="B11" s="16" t="str">
        <x:v>P1</x:v>
      </x:c>
      <x:c r="C11" s="16" t="str">
        <x:v>标准版完善</x:v>
      </x:c>
      <x:c r="D11" s="16" t="str">
        <x:v>试点后按反馈排入迭代；不影响已确认P0边界。</x:v>
      </x:c>
      <x:c r="E11" s="16" t="str">
        <x:v>本次开发拆解建议</x:v>
      </x:c>
    </x:row>
    <x:row r="12" ht="80" customHeight="1">
      <x:c r="A12" s="20" t="str">
        <x:v>执行规则</x:v>
      </x:c>
      <x:c r="B12" s="20" t="str">
        <x:v>P2</x:v>
      </x:c>
      <x:c r="C12" s="20" t="str">
        <x:v>按需扩展</x:v>
      </x:c>
      <x:c r="D12" s="20" t="str">
        <x:v>新传感器/算法或新设备接入需单独确认工作量。</x:v>
      </x:c>
      <x:c r="E12" s="20" t="str">
        <x:v>本次开发拆解建议</x:v>
      </x:c>
    </x:row>
    <x:row r="13" ht="80" customHeight="1">
      <x:c r="A13" s="16" t="str">
        <x:v>执行规则</x:v>
      </x:c>
      <x:c r="B13" s="16" t="str">
        <x:v>计划</x:v>
      </x:c>
      <x:c r="C13" s="16" t="str">
        <x:v>日期与人日</x:v>
      </x:c>
      <x:c r="D13" s="16" t="str">
        <x:v>需由团队评审后填入；空白不等于零人日或无依赖。</x:v>
      </x:c>
      <x:c r="E13" s="16" t="str">
        <x:v>本次开发拆解建议</x:v>
      </x:c>
    </x:row>
    <x:row r="14" ht="80" customHeight="1">
      <x:c r="A14" s="20" t="str">
        <x:v>S0</x:v>
      </x:c>
      <x:c r="B14" s="20" t="str">
        <x:v>资料依据</x:v>
      </x:c>
      <x:c r="C14" s="20" t="str">
        <x:v>本次对话中的项目决策</x:v>
      </x:c>
      <x:c r="D14" s="20" t="str">
        <x:v>产品1/2浪潮ODM；产品3共久硬件、自研设备端；统一平台及MES自研。优先于早期方案表述。</x:v>
      </x:c>
      <x:c r="E14" s="20" t="str">
        <x:v>用户最新确认</x:v>
      </x:c>
    </x:row>
    <x:row r="15" ht="80" customHeight="1">
      <x:c r="A15" s="16" t="str">
        <x:v>S1</x:v>
      </x:c>
      <x:c r="B15" s="16" t="str">
        <x:v>资料依据</x:v>
      </x:c>
      <x:c r="C15" s="16" t="str">
        <x:v>电缆检测设备要求截图及此前完整需求</x:v>
      </x:c>
      <x:c r="D15" s="16" t="str">
        <x:v>三项重点指标、报警与MES、D/E扩展数据。控制值为客户原始需求，不视为已核实统一标准。</x:v>
      </x:c>
      <x:c r="E15" s="16" t="str">
        <x:v>截图第1页；前文完整需求</x:v>
      </x:c>
    </x:row>
    <x:row r="16" ht="80" customHeight="1">
      <x:c r="A16" s="20" t="str">
        <x:v>S2</x:v>
      </x:c>
      <x:c r="B16" s="20" t="str">
        <x:v>资料依据</x:v>
      </x:c>
      <x:c r="C16" s="20" t="str">
        <x:v>浪潮星耀线缆智能产品手册20260422(2)(1).pdf</x:v>
      </x:c>
      <x:c r="D16" s="20" t="str">
        <x:v>仅作产品及能力方向参考；不替代当前ODM合同、型号及接口验收。</x:v>
      </x:c>
      <x:c r="E16" s="20" t="str">
        <x:v>第3—8页等产品页</x:v>
      </x:c>
    </x:row>
    <x:row r="17" ht="80" customHeight="1">
      <x:c r="A17" s="16" t="str">
        <x:v>S3</x:v>
      </x:c>
      <x:c r="B17" s="16" t="str">
        <x:v>资料依据</x:v>
      </x:c>
      <x:c r="C17" s="16" t="str">
        <x:v>线芯AI质检一体机(3)(1).pdf</x:v>
      </x:c>
      <x:c r="D17" s="16" t="str">
        <x:v>原AI线径/圆整度技术要求；含360°、深度学习和存储等条款，与当前双向仪表方案需差异确认。</x:v>
      </x:c>
      <x:c r="E17" s="16" t="str">
        <x:v>第1—4页</x:v>
      </x:c>
    </x:row>
    <x:row r="18" ht="80" customHeight="1">
      <x:c r="A18" s="20" t="str">
        <x:v>S4</x:v>
      </x:c>
      <x:c r="B18" s="20" t="str">
        <x:v>资料依据</x:v>
      </x:c>
      <x:c r="C18" s="20" t="str">
        <x:v>铜带AI一体机技术配置要求(3)(1).docx</x:v>
      </x:c>
      <x:c r="D18" s="20" t="str">
        <x:v>支持搭盖统计、图像、配方及数据接口的需求依据；不作供应商实测达标证明。</x:v>
      </x:c>
      <x:c r="E18" s="20" t="str">
        <x:v>第4页；其他硬件条款按供货确认</x:v>
      </x:c>
    </x:row>
    <x:row r="19" ht="80" customHeight="1">
      <x:c r="A19" s="16" t="str">
        <x:v>S5</x:v>
      </x:c>
      <x:c r="B19" s="16" t="str">
        <x:v>资料依据</x:v>
      </x:c>
      <x:c r="C19" s="16" t="str">
        <x:v>笼绞断丝AI视觉检测设备技术要求(3)(1).docx</x:v>
      </x:c>
      <x:c r="D19" s="16" t="str">
        <x:v>描述笼绞场景，仅作参考；不能作为铜丝屏蔽间隙产品验收依据。</x:v>
      </x:c>
      <x:c r="E19" s="16" t="str">
        <x:v>第1—2页</x:v>
      </x:c>
    </x:row>
    <x:row r="20" ht="80" customHeight="1">
      <x:c r="A20" s="20" t="str">
        <x:v>S6</x:v>
      </x:c>
      <x:c r="B20" s="20" t="str">
        <x:v>资料依据</x:v>
      </x:c>
      <x:c r="C20" s="20" t="str">
        <x:v>Opmac 170AL2-2D 技术参数 (1).doc</x:v>
      </x:c>
      <x:c r="D20" s="20" t="str">
        <x:v>双向测量、分辨率0.01mm、内部扫描600次/秒、RS485/Modbus RTU；定制接口与量程需确认。</x:v>
      </x:c>
      <x:c r="E20" s="20" t="str">
        <x:v>第1页</x:v>
      </x:c>
    </x:row>
    <x:row r="21" ht="80" customHeight="1">
      <x:c r="A21" s="16" t="str">
        <x:v>D0</x:v>
      </x:c>
      <x:c r="B21" s="16" t="str">
        <x:v>资料依据</x:v>
      </x:c>
      <x:c r="C21" s="16" t="str">
        <x:v>本交付包中的架构、任务和测试建议</x:v>
      </x:c>
      <x:c r="D21" s="16" t="str">
        <x:v>为内部研发拆解，不是供应商现有能力、已批准合同范围或客户签署交付期限。</x:v>
      </x:c>
      <x:c r="E21" s="16" t="str">
        <x:v>本文与任务台账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caadacf6fb984a4c"/>
  </x:tableParts>
</x:worksheet>
</file>